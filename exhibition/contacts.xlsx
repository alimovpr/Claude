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Контакты!$A$1:$W$24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<sst xmlns="http://schemas.openxmlformats.org/spreadsheetml/2006/main" count="587" uniqueCount="412">
  <si>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</si>
  <si>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</si>
  <si>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</si>
  <si>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</si>
  <si>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</si>
  <si>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</si>
  <si>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</si>
  <si>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</si>
  <si>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</si>
  <si>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</si>
  <si>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</si>
  <si>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</si>
  <si>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</si>
  <si>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</si>
  <si>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</si>
  <si>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</si>
  <si>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</si>
  <si>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</si>
  <si>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</si>
  <si>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</si>
  <si>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</si>
  <si>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</si>
  <si>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</si>
  <si>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</si>
  <si>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</si>
  <si>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</si>
  <si>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</si>
  <si>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</si>
  <si>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</si>
  <si>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</si>
  <si>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</si>
  <si>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</si>
  <si>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</si>
  <si>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</si>
  <si>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</si>
  <si>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</si>
  <si>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</si>
  <si>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</si>
  <si>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</si>
  <si>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</si>
  <si>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</si>
  <si>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</si>
  <si>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</si>
  <si>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</si>
  <si>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</si>
  <si>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</si>
  <si>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</si>
  <si>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</si>
  <si>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</si>
  <si>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</si>
  <si>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</si>
  <si>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</si>
  <si>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</si>
  <si>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</si>
  <si>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</si>
  <si>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</si>
  <si>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</si>
  <si>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</si>
  <si>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</si>
  <si>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</si>
  <si>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</si>
  <si>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</si>
  <si>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</si>
  <si>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</si>
  <si>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</si>
  <si>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</si>
  <si>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</si>
  <si>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</si>
  <si>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</si>
  <si>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</si>
  <si>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</si>
  <si>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</si>
  <si>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</si>
  <si>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</si>
  <si>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</si>
  <si>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</si>
  <si>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</si>
  <si>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</si>
  <si>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</si>
  <si>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</si>
  <si>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</si>
  <si>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</si>
  <si>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</si>
  <si>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</si>
  <si>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</si>
  <si>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</si>
  <si>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</si>
  <si>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</si>
  <si>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</si>
  <si>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</si>
  <si>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</si>
  <si>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</si>
  <si>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</si>
  <si>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</si>
  <si>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</si>
  <si>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</si>
  <si>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</si>
  <si>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</si>
  <si>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</si>
  <si>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</si>
  <si>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</si>
  <si>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</si>
  <si>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</si>
  <si>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</si>
  <si>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</si>
  <si>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</si>
  <si>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</si>
  <si>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</si>
  <si>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</si>
  <si>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</si>
  <si>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</si>
  <si>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</si>
  <si>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</si>
  <si>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</si>
  <si>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</si>
  <si>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</si>
  <si>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</si>
  <si>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</si>
  <si>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</si>
  <si>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</si>
  <si>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</si>
  <si>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</si>
  <si>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</si>
  <si>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</si>
  <si>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</si>
  <si>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</si>
  <si>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</si>
  <si>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</si>
  <si>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</si>
  <si>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</si>
  <si>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</si>
  <si>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Тайвань</t>
  </si>
  <si>
    <t xml:space="preserve">Бренд со своим заводом (OEM — уточнить)</t>
  </si>
  <si>
    <t xml:space="preserve">Тайвань (Таоюань)</t>
  </si>
  <si>
    <t xml:space="preserve">O'RIGHT Inc. (O'right — Sustainable Beauty)</t>
  </si>
  <si>
    <t xml:space="preserve">Cosmetic 360, тайваньский павильон (Taiwan Beauty Valley), рядом со стендом DC43</t>
  </si>
  <si>
    <t xml:space="preserve">https://www.oright.com.tw</t>
  </si>
  <si>
    <t xml:space="preserve">Производство зубной пасты: 100% натуральная, 100% биооснова, вместо абразивов — древесная целлюлоза (бук, ель, FSC). Линейка Toothpaste Nº Zero и др. (подарочный набор из 3 паст). Основной профиль бренда — экологичный уход за волосами и кожей</t>
  </si>
  <si>
    <t xml:space="preserve">Производство зубной пасты</t>
  </si>
  <si>
    <t xml:space="preserve">Тайваньский «зелёный» бренд со своим заводом — по их данным, первый в Азии GMP-сертифицированный завод «зелёной» косметики, 10 международных сертификатов; углеродная нейтральность (продукты, завод, компания), подтверждено SGS с 2020 г. Награды: Green Product Award, Taiwan Excellence. Делают ли производство под чужую марку (OEM/ODM) — в источниках не найдено, уточнить.</t>
  </si>
  <si>
    <t xml:space="preserve">https://en.wikipedia.org/wiki/O%27right ; https://www.gp-award.com/en/products/toothpaste-n-zero ; https://www.taiwanexcellence.org/en/award/product/1100126</t>
  </si>
  <si>
    <t xml:space="preserve">Уточнить, производят ли пасту под нашу марку (OEM), MOQ, сроки, цены; контакт — через форму на oright.com.tw или на стенде</t>
  </si>
  <si>
    <t xml:space="preserve">photos/020_oright.jpg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</si>
  <si>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</si>
  <si>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</si>
  <si>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</si>
  <si>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</si>
  <si>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</si>
  <si>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</si>
  <si>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</si>
  <si>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</si>
  <si>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</si>
  <si>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</si>
  <si>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</si>
  <si>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</si>
  <si>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</si>
  <si>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</si>
  <si>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</si>
  <si>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</si>
  <si>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</si>
  <si>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Дрё (Эр и Луар), ~80 км от Парижа</t>
  </si>
  <si>
    <t xml:space="preserve">Cosinus Servicosm (cosmetic lab &amp; packing)</t>
  </si>
  <si>
    <t xml:space="preserve">https://www.cosinus-servicosm.com</t>
  </si>
  <si>
    <t xml:space="preserve">Лаборатория и фасовка косметики (cosmetic lab &amp; packing): производство ПАРФЮМА с маленькими минимальными партиями — от 1 000 флаконов. На стенде также Climastick — охлаждающий стик для кожи (2 зоны применения, апсайкл-ингредиенты)</t>
  </si>
  <si>
    <t xml:space="preserve">Christophe MEUNIER</t>
  </si>
  <si>
    <t xml:space="preserve">Directeur de Site (директор площадки)</t>
  </si>
  <si>
    <t xml:space="preserve">christophe.meunier@cosinus-servicosm.com</t>
  </si>
  <si>
    <t xml:space="preserve">Моб.: +33 6 76 04 11 61 ; офис: +33 2 37 38 03 30</t>
  </si>
  <si>
    <t xml:space="preserve">12 Rue Jean-Louis Chanoine, ZA de la Rabette, 28100 Dreux, Франция</t>
  </si>
  <si>
    <t xml:space="preserve">От руки: «производят духи, 1000 флакончиков»</t>
  </si>
  <si>
    <t xml:space="preserve">Производят парфюм, маленькие минималки — от 1 000 флаконов</t>
  </si>
  <si>
    <t xml:space="preserve">По реестру Франции: SARL Cosinus, Дрё, работает с 1997 г., код деятельности 20.42Z (производство парфюмерии и туалетных средств), 10–19 сотрудников, выручка ~2 млн € (данные 2015–2017). Небольшое производство — отсюда гибкие маленькие партии.</t>
  </si>
  <si>
    <t xml:space="preserve">https://www.xerfi.com/etudes-par-entreprise/cosinus_414916825 ; https://api-avis-situation-sirene.insee.fr/identification/pdf/41491682500022</t>
  </si>
  <si>
    <t xml:space="preserve">Написать Christophe Meunier: парфюм от 1 000 флаконов — цены, сроки, свои отдушки или наши, флаконы (их или EURY/Cypress), документы</t>
  </si>
  <si>
    <t xml:space="preserve">photos/021_cosinus_servicosm.jpg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</si>
  <si>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</si>
  <si>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</si>
  <si>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</si>
  <si>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</si>
  <si>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</si>
  <si>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</si>
  <si>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</si>
  <si>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</si>
  <si>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</si>
  <si>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</si>
  <si>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</si>
  <si>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</si>
  <si>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</si>
  <si>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</si>
  <si>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</si>
  <si>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</si>
  <si>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</si>
  <si>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</si>
  <si>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</si>
  <si>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</si>
  <si>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</si>
  <si>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</si>
  <si>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</si>
  <si>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</si>
  <si>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</si>
  <si>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</si>
  <si>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</si>
  <si>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</si>
  <si>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</si>
  <si>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</si>
  <si>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</si>
  <si>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</si>
  <si>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</si>
  <si>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</si>
  <si>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</si>
  <si>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</si>
  <si>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Франция (Париж — агентство Centdegrés); подразделения в Европе и Северной Америке</t>
  </si>
  <si>
    <t xml:space="preserve">IBG — Innovative Beauty Group (Orchard Custom Beauty, Fasten Packaging, Roberts Beauty) + агентство Centdegrés</t>
  </si>
  <si>
    <t xml:space="preserve">Cosmetic 360, пространство «The Innovative Menu» (IBG × Centdegrés)</t>
  </si>
  <si>
    <t xml:space="preserve">Разработка продукта и бренда под ключ (turnkey): парфюм, макияж («инновационные рецептуры с высокой пигментацией»), уход; упаковка; брендинг и дизайн (Centdegrés). Сегменты масс-маркет и масстиж, работают с брендами и торговыми сетями. На стенде — флаконы парфюма в цветном стекле, ароматическое сырьё, макияж</t>
  </si>
  <si>
    <t xml:space="preserve">IBG — подразделение Albéa (с 2024 г. принадлежит фонду Freeman Capital). Оборот ~380 млн $ (2024), ~400 сотрудников. В июле 2025 купили парижское агентство Centdegrés (основано в 1988 г.). Модель: под ключ + упаковка + агентство. По словам CEO, работают без своих фабрик — производство через партнёров (источники расходятся). Запущен Centdegrés North America.</t>
  </si>
  <si>
    <t xml:space="preserve">https://www.formesdeluxe.com/article/with-centdegres-acquisition-innovative-beauty-group-gets-a-shot-of-creativity.65037 ; https://www.beautymatter.com/articles/french-creative-agency-centdegres-joins-innovative-beauty-group ; https://www.premiumbeautynews.com/en/innovative-beauty-group-boosts,26053 ; https://www.formesdeluxe.com/article/innovative-beauty-group-ibg-unveils-new-positioning.65153</t>
  </si>
  <si>
    <t xml:space="preserve">Взять контакт; уточнить MOQ (вероятно, крупные — масс-маркет), парфюм и макияж под ключ, цены, сроки</t>
  </si>
  <si>
    <t xml:space="preserve">photos/023_ibg_centdegres.jpg</t>
  </si>
  <si>
    <t xml:space="preserve">Форкалькье (Альпы Верхнего Прованса), Прованс; второй сайт — Валансоль</t>
  </si>
  <si>
    <t xml:space="preserve">Laboratoires BEA (группа Condat)</t>
  </si>
  <si>
    <t xml:space="preserve">https://www.laboratoiresbea.com</t>
  </si>
  <si>
    <t xml:space="preserve">Контрактное производство (façonnier) под ключ или по этапам — от концепции до производства: ПАРФЮМЕРИЯ, мыло, жидкая и твёрдая косметика, органическая и обычная. На стенде — линейка ухода за волосами (маски, кондиционеры, сыворотки)</t>
  </si>
  <si>
    <t xml:space="preserve">Anouck HIVER (вписана от руки на визитке Laurine Guillaume)</t>
  </si>
  <si>
    <t xml:space="preserve">По визитке: Laurine GUILLAUME — Area Sales Manager (зачёркнуто, заменено на Anouck Hiver)</t>
  </si>
  <si>
    <t xml:space="preserve">ahiver@laboratoiresbea.com ; lguillaume@laboratoiresbea.com</t>
  </si>
  <si>
    <t xml:space="preserve">Офис: +33 4 92 75 37 69 ; мобильный Laurine Guillaume: +33 6 62 17 58 71</t>
  </si>
  <si>
    <t xml:space="preserve">265 Av. des Châlus, 04300 Forcalquier, Франция</t>
  </si>
  <si>
    <t xml:space="preserve">Визитка Laurine Guillaume, от руки вписано: Anouck HIVER, ahiver@laboratoiresbea.com</t>
  </si>
  <si>
    <t xml:space="preserve">Лаборатория во Франции по производству парфюма. ВНИМАНИЕ: очень долгие сроки производства</t>
  </si>
  <si>
    <t xml:space="preserve">Оборот ~22 млн € (2024), 100–199 сотрудников. С 2008 г. в группе Condat. В 2012 купили Laboratoires SCV (сайт в Валансоли). Сертификаты ISO 9001 и ISO 22716 (GMP). Раньше ~65% продаж шло на экспорт (данные старые).</t>
  </si>
  <si>
    <t xml:space="preserve">https://madeinmarseille.net/environnement/25019-filiere-cosmetique-provence/ ; https://www.xerfi.com/etudes-par-entreprise/laboratoires-bea_383819836 ; https://exhibitor.beautyworldme.com/exhibitor-search-en/exhibitor-search.detail.html/laboratoires-bea.html ; https://www.premiumbeautynews.com/en/laboratoires-bea-focus-on-growth,5593</t>
  </si>
  <si>
    <t xml:space="preserve">Написать Anouck Hiver: точные сроки производства парфюма, MOQ, цены. Сроки — главный минус, сравнить с другими вариантами</t>
  </si>
  <si>
    <t xml:space="preserve">photos/019_laboratoires_bea.jpg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</si>
  <si>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</si>
  <si>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</si>
  <si>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</si>
  <si>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</si>
  <si>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</si>
  <si>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</si>
  <si>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</si>
  <si>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</si>
  <si>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</si>
  <si>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</si>
  <si>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</si>
  <si>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</si>
  <si>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</si>
  <si>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</si>
  <si>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</si>
  <si>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</si>
  <si>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</si>
  <si>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</si>
  <si>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</si>
  <si>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</si>
  <si>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</si>
  <si>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</si>
  <si>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</si>
  <si>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</si>
  <si>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</si>
  <si>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</si>
  <si>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</si>
  <si>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Регион Иль-де-Франс (запад от Парижа: Гервиль / Мант-ля-Жоли — ABO); France Lab — Париж, хаб в Нью-Йорке</t>
  </si>
  <si>
    <t xml:space="preserve">Marie Claire Beauty Group: CEGEDIS (парфюм) + ABO Cosmétiques (косметика) + France Lab (разработка) + Decortiat</t>
  </si>
  <si>
    <t xml:space="preserve">Cosmetic 360, стенд DB28 (Innovation Route — Formulation)</t>
  </si>
  <si>
    <t xml:space="preserve">Полный цикл от создания бренда до производства, под ключ или по этапам: ПАРФЮМ (CEGEDIS — производство парфюмерии), уход, макияж, уход за волосами, ароматы для дома (ABO — производство и фасовка селективной, органической и натуральной косметики, в т.ч. парфюмерной воды). France Lab — разработка ароматов и косметики на заказ, дизайн упаковки, регуляторика. Новинка на стенде: парфюм нового поколения — без спирта, на водной основе, стойкий. На витрине: парфюмы, кремы, палетки теней, румяна, помады</t>
  </si>
  <si>
    <t xml:space="preserve">Производитель парфюма</t>
  </si>
  <si>
    <t xml:space="preserve">Группа принадлежит медиагруппе Marie Claire. France Lab куплена в 2015 г., ABO Cosmétiques и Cegedis — в 2018 г., дизайн-агентство Desdoigts &amp; Associés — в 2020 г. Вместе закрывают цепочку от создания бренда до производства. Decortiat — в источниках не найден (возможно, партнёр/подразделение).</t>
  </si>
  <si>
    <t xml:space="preserve">https://www.premiumbeautynews.com/en/marie-claire-group-to-speed-up,14015 ; https://beautymatter.com/articles/marie-claire-group-continues-diversification-in-beauty-sector ; https://www.cosmetic-valley.com/en/annuaire-entreprises/abo-cosmetiques ; https://www.premiumbeautynews.com/en/france-lab-sets-up-offices-and-an,9839 ; https://www.cbnews.fr/medias/groupe-marie-claire-rachete-agence-desdoigts-associes</t>
  </si>
  <si>
    <t xml:space="preserve">Взять контакт на стенде DB28; запросить: парфюм (в т.ч. безспиртовой на водной основе), MOQ, сроки, цены; продукты для губ и макияж</t>
  </si>
  <si>
    <t xml:space="preserve">photos/022_marie_claire_beauty_group.jpg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</si>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</sst>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oright.com.tw/" TargetMode="External"/><Relationship Id="rId10" Type="http://schemas.openxmlformats.org/officeDocument/2006/relationships/hyperlink" Target="https://www.aircospascual-anjac.com/" TargetMode="External"/><Relationship Id="rId11" Type="http://schemas.openxmlformats.org/officeDocument/2006/relationships/hyperlink" Target="https://www.cosinus-servicosm.com/" TargetMode="External"/><Relationship Id="rId12" Type="http://schemas.openxmlformats.org/officeDocument/2006/relationships/hyperlink" Target="https://www.desjardin.fr/" TargetMode="External"/><Relationship Id="rId13" Type="http://schemas.openxmlformats.org/officeDocument/2006/relationships/hyperlink" Target="https://www.desjardin.fr/en/categories/cosmetic-packaging" TargetMode="External"/><Relationship Id="rId14" Type="http://schemas.openxmlformats.org/officeDocument/2006/relationships/hyperlink" Target="https://www.effervescence-lab.com/" TargetMode="External"/><Relationship Id="rId15" Type="http://schemas.openxmlformats.org/officeDocument/2006/relationships/hyperlink" Target="https://www.laboratoiresbea.com/" TargetMode="External"/><Relationship Id="rId16" Type="http://schemas.openxmlformats.org/officeDocument/2006/relationships/hyperlink" Target="https://www.msbeautilab.com/" TargetMode="External"/><Relationship Id="rId17" Type="http://schemas.openxmlformats.org/officeDocument/2006/relationships/hyperlink" Target="https://simah-cosmetiques.fr/" TargetMode="External"/><Relationship Id="rId18" Type="http://schemas.openxmlformats.org/officeDocument/2006/relationships/hyperlink" Target="https://welcon.kocca.kr/en/directory/company/cosplan-inc--5601" TargetMode="External"/><Relationship Id="rId19" Type="http://schemas.openxmlformats.org/officeDocument/2006/relationships/hyperlink" Target="https://iwasecosfa.eu/" TargetMode="External"/><Relationship Id="rId20" Type="http://schemas.openxmlformats.org/officeDocument/2006/relationships/hyperlink" Target="https://iwasecosfa-eu.covalo.com/" TargetMode="External"/><Relationship Id="rId2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91" hidden="false" customHeight="false" outlineLevel="0" collapsed="false">
      <c r="A9" s="2" t="n">
        <v>8</v>
      </c>
      <c r="B9" s="3" t="s">
        <v>131</v>
      </c>
      <c r="C9" s="2" t="s">
        <v>132</v>
      </c>
      <c r="D9" s="2" t="s">
        <v>133</v>
      </c>
      <c r="E9" s="2" t="s">
        <v>134</v>
      </c>
      <c r="F9" s="2" t="s">
        <v>135</v>
      </c>
      <c r="G9" s="4" t="s">
        <v>136</v>
      </c>
      <c r="H9" s="2"/>
      <c r="I9" s="2" t="s">
        <v>137</v>
      </c>
      <c r="J9" s="2"/>
      <c r="K9" s="2"/>
      <c r="L9" s="2"/>
      <c r="M9" s="2"/>
      <c r="N9" s="2"/>
      <c r="O9" s="2" t="s">
        <v>131</v>
      </c>
      <c r="P9" s="2" t="s">
        <v>67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202.95" hidden="false" customHeight="false" outlineLevel="0" collapsed="false">
      <c r="A10" s="2" t="n">
        <v>9</v>
      </c>
      <c r="B10" s="3" t="s">
        <v>143</v>
      </c>
      <c r="C10" s="2" t="s">
        <v>45</v>
      </c>
      <c r="D10" s="2" t="s">
        <v>144</v>
      </c>
      <c r="E10" s="2" t="s">
        <v>145</v>
      </c>
      <c r="F10" s="2" t="s">
        <v>146</v>
      </c>
      <c r="G10" s="4" t="s">
        <v>147</v>
      </c>
      <c r="H10" s="2"/>
      <c r="I10" s="2" t="s">
        <v>148</v>
      </c>
      <c r="J10" s="2" t="s">
        <v>149</v>
      </c>
      <c r="K10" s="2"/>
      <c r="L10" s="2" t="s">
        <v>150</v>
      </c>
      <c r="M10" s="2" t="s">
        <v>151</v>
      </c>
      <c r="N10" s="2" t="s">
        <v>152</v>
      </c>
      <c r="O10" s="2" t="s">
        <v>153</v>
      </c>
      <c r="P10" s="2" t="s">
        <v>154</v>
      </c>
      <c r="Q10" s="2" t="s">
        <v>155</v>
      </c>
      <c r="R10" s="2" t="s">
        <v>156</v>
      </c>
      <c r="S10" s="2" t="s">
        <v>157</v>
      </c>
      <c r="T10" s="2" t="s">
        <v>158</v>
      </c>
      <c r="U10" s="2" t="s">
        <v>58</v>
      </c>
      <c r="V10" s="2" t="s">
        <v>42</v>
      </c>
      <c r="W10" s="2" t="s">
        <v>159</v>
      </c>
    </row>
    <row r="11" customFormat="false" ht="57.45" hidden="false" customHeight="false" outlineLevel="0" collapsed="false">
      <c r="A11" s="2" t="n">
        <v>10</v>
      </c>
      <c r="B11" s="3" t="s">
        <v>143</v>
      </c>
      <c r="C11" s="2" t="s">
        <v>45</v>
      </c>
      <c r="D11" s="2" t="s">
        <v>160</v>
      </c>
      <c r="E11" s="2" t="s">
        <v>161</v>
      </c>
      <c r="F11" s="2" t="s">
        <v>27</v>
      </c>
      <c r="G11" s="4" t="s">
        <v>162</v>
      </c>
      <c r="H11" s="2"/>
      <c r="I11" s="2" t="s">
        <v>163</v>
      </c>
      <c r="J11" s="2" t="s">
        <v>164</v>
      </c>
      <c r="K11" s="2"/>
      <c r="L11" s="2" t="s">
        <v>165</v>
      </c>
      <c r="M11" s="2" t="s">
        <v>166</v>
      </c>
      <c r="N11" s="2" t="s">
        <v>167</v>
      </c>
      <c r="O11" s="2" t="s">
        <v>168</v>
      </c>
      <c r="P11" s="2" t="s">
        <v>169</v>
      </c>
      <c r="Q11" s="2" t="s">
        <v>170</v>
      </c>
      <c r="R11" s="2" t="s">
        <v>171</v>
      </c>
      <c r="S11" s="2" t="s">
        <v>172</v>
      </c>
      <c r="T11" s="2" t="s">
        <v>173</v>
      </c>
      <c r="U11" s="2" t="s">
        <v>58</v>
      </c>
      <c r="V11" s="2" t="s">
        <v>42</v>
      </c>
      <c r="W11" s="2" t="s">
        <v>174</v>
      </c>
    </row>
    <row r="12" customFormat="false" ht="102.2" hidden="false" customHeight="false" outlineLevel="0" collapsed="false">
      <c r="A12" s="2" t="n">
        <v>11</v>
      </c>
      <c r="B12" s="3" t="s">
        <v>143</v>
      </c>
      <c r="C12" s="2" t="s">
        <v>72</v>
      </c>
      <c r="D12" s="2" t="s">
        <v>175</v>
      </c>
      <c r="E12" s="2" t="s">
        <v>176</v>
      </c>
      <c r="F12" s="2" t="s">
        <v>27</v>
      </c>
      <c r="G12" s="4" t="s">
        <v>177</v>
      </c>
      <c r="H12" s="4" t="s">
        <v>178</v>
      </c>
      <c r="I12" s="2" t="s">
        <v>179</v>
      </c>
      <c r="J12" s="2"/>
      <c r="K12" s="2"/>
      <c r="L12" s="2"/>
      <c r="M12" s="2" t="s">
        <v>180</v>
      </c>
      <c r="N12" s="2"/>
      <c r="O12" s="2" t="s">
        <v>181</v>
      </c>
      <c r="P12" s="2" t="s">
        <v>67</v>
      </c>
      <c r="Q12" s="2"/>
      <c r="R12" s="2" t="s">
        <v>182</v>
      </c>
      <c r="S12" s="2" t="s">
        <v>183</v>
      </c>
      <c r="T12" s="2" t="s">
        <v>184</v>
      </c>
      <c r="U12" s="2"/>
      <c r="V12" s="2" t="s">
        <v>42</v>
      </c>
      <c r="W12" s="2" t="s">
        <v>185</v>
      </c>
    </row>
    <row r="13" customFormat="false" ht="102.2" hidden="false" customHeight="false" outlineLevel="0" collapsed="false">
      <c r="A13" s="2" t="n">
        <v>12</v>
      </c>
      <c r="B13" s="3" t="s">
        <v>143</v>
      </c>
      <c r="C13" s="2" t="s">
        <v>186</v>
      </c>
      <c r="D13" s="2" t="s">
        <v>187</v>
      </c>
      <c r="E13" s="2" t="s">
        <v>188</v>
      </c>
      <c r="F13" s="2" t="s">
        <v>189</v>
      </c>
      <c r="G13" s="4" t="s">
        <v>190</v>
      </c>
      <c r="H13" s="2"/>
      <c r="I13" s="2" t="s">
        <v>191</v>
      </c>
      <c r="J13" s="2"/>
      <c r="K13" s="2"/>
      <c r="L13" s="2"/>
      <c r="M13" s="2" t="s">
        <v>192</v>
      </c>
      <c r="N13" s="2" t="s">
        <v>193</v>
      </c>
      <c r="O13" s="2" t="s">
        <v>194</v>
      </c>
      <c r="P13" s="2" t="s">
        <v>195</v>
      </c>
      <c r="Q13" s="2" t="s">
        <v>196</v>
      </c>
      <c r="R13" s="2" t="s">
        <v>197</v>
      </c>
      <c r="S13" s="2" t="s">
        <v>198</v>
      </c>
      <c r="T13" s="2" t="s">
        <v>199</v>
      </c>
      <c r="U13" s="2"/>
      <c r="V13" s="2" t="s">
        <v>42</v>
      </c>
      <c r="W13" s="2" t="s">
        <v>200</v>
      </c>
    </row>
    <row r="14" customFormat="false" ht="180.55" hidden="false" customHeight="false" outlineLevel="0" collapsed="false">
      <c r="A14" s="2" t="n">
        <v>13</v>
      </c>
      <c r="B14" s="3" t="s">
        <v>143</v>
      </c>
      <c r="C14" s="2" t="s">
        <v>60</v>
      </c>
      <c r="D14" s="2" t="s">
        <v>201</v>
      </c>
      <c r="E14" s="2" t="s">
        <v>202</v>
      </c>
      <c r="F14" s="2" t="s">
        <v>203</v>
      </c>
      <c r="G14" s="2"/>
      <c r="H14" s="2"/>
      <c r="I14" s="2" t="s">
        <v>204</v>
      </c>
      <c r="J14" s="2"/>
      <c r="K14" s="2"/>
      <c r="L14" s="2"/>
      <c r="M14" s="2"/>
      <c r="N14" s="2"/>
      <c r="O14" s="2" t="s">
        <v>205</v>
      </c>
      <c r="P14" s="2" t="s">
        <v>206</v>
      </c>
      <c r="Q14" s="2"/>
      <c r="R14" s="2" t="s">
        <v>207</v>
      </c>
      <c r="S14" s="2" t="s">
        <v>208</v>
      </c>
      <c r="T14" s="2" t="s">
        <v>209</v>
      </c>
      <c r="U14" s="2"/>
      <c r="V14" s="2" t="s">
        <v>42</v>
      </c>
      <c r="W14" s="2" t="s">
        <v>210</v>
      </c>
    </row>
    <row r="15" customFormat="false" ht="158.2" hidden="false" customHeight="false" outlineLevel="0" collapsed="false">
      <c r="A15" s="2" t="n">
        <v>14</v>
      </c>
      <c r="B15" s="3" t="s">
        <v>143</v>
      </c>
      <c r="C15" s="2" t="s">
        <v>45</v>
      </c>
      <c r="D15" s="2" t="s">
        <v>211</v>
      </c>
      <c r="E15" s="2" t="s">
        <v>212</v>
      </c>
      <c r="F15" s="2" t="s">
        <v>213</v>
      </c>
      <c r="G15" s="2"/>
      <c r="H15" s="2"/>
      <c r="I15" s="2" t="s">
        <v>214</v>
      </c>
      <c r="J15" s="2"/>
      <c r="K15" s="2"/>
      <c r="L15" s="2"/>
      <c r="M15" s="2"/>
      <c r="N15" s="2"/>
      <c r="O15" s="2" t="s">
        <v>143</v>
      </c>
      <c r="P15" s="2" t="s">
        <v>67</v>
      </c>
      <c r="Q15" s="2"/>
      <c r="R15" s="2" t="s">
        <v>215</v>
      </c>
      <c r="S15" s="2" t="s">
        <v>216</v>
      </c>
      <c r="T15" s="2" t="s">
        <v>217</v>
      </c>
      <c r="U15" s="2"/>
      <c r="V15" s="2" t="s">
        <v>42</v>
      </c>
      <c r="W15" s="2" t="s">
        <v>218</v>
      </c>
    </row>
    <row r="16" customFormat="false" ht="147" hidden="false" customHeight="false" outlineLevel="0" collapsed="false">
      <c r="A16" s="2" t="n">
        <v>15</v>
      </c>
      <c r="B16" s="3" t="s">
        <v>143</v>
      </c>
      <c r="C16" s="2" t="s">
        <v>45</v>
      </c>
      <c r="D16" s="2" t="s">
        <v>219</v>
      </c>
      <c r="E16" s="2" t="s">
        <v>220</v>
      </c>
      <c r="F16" s="2" t="s">
        <v>27</v>
      </c>
      <c r="G16" s="4" t="s">
        <v>221</v>
      </c>
      <c r="H16" s="2"/>
      <c r="I16" s="2" t="s">
        <v>222</v>
      </c>
      <c r="J16" s="2" t="s">
        <v>223</v>
      </c>
      <c r="K16" s="2"/>
      <c r="L16" s="2" t="s">
        <v>224</v>
      </c>
      <c r="M16" s="2" t="s">
        <v>225</v>
      </c>
      <c r="N16" s="2" t="s">
        <v>226</v>
      </c>
      <c r="O16" s="2" t="s">
        <v>227</v>
      </c>
      <c r="P16" s="2" t="s">
        <v>228</v>
      </c>
      <c r="Q16" s="2" t="s">
        <v>229</v>
      </c>
      <c r="R16" s="2" t="s">
        <v>230</v>
      </c>
      <c r="S16" s="2" t="s">
        <v>231</v>
      </c>
      <c r="T16" s="2" t="s">
        <v>232</v>
      </c>
      <c r="U16" s="2"/>
      <c r="V16" s="2" t="s">
        <v>42</v>
      </c>
      <c r="W16" s="2" t="s">
        <v>233</v>
      </c>
    </row>
    <row r="17" customFormat="false" ht="158.2" hidden="false" customHeight="false" outlineLevel="0" collapsed="false">
      <c r="A17" s="2" t="n">
        <v>16</v>
      </c>
      <c r="B17" s="3" t="s">
        <v>143</v>
      </c>
      <c r="C17" s="2" t="s">
        <v>45</v>
      </c>
      <c r="D17" s="2" t="s">
        <v>234</v>
      </c>
      <c r="E17" s="2" t="s">
        <v>235</v>
      </c>
      <c r="F17" s="2" t="s">
        <v>236</v>
      </c>
      <c r="G17" s="2" t="s">
        <v>237</v>
      </c>
      <c r="H17" s="2"/>
      <c r="I17" s="2" t="s">
        <v>238</v>
      </c>
      <c r="J17" s="2"/>
      <c r="K17" s="2"/>
      <c r="L17" s="2"/>
      <c r="M17" s="2"/>
      <c r="N17" s="2"/>
      <c r="O17" s="2" t="s">
        <v>239</v>
      </c>
      <c r="P17" s="2" t="s">
        <v>240</v>
      </c>
      <c r="Q17" s="2"/>
      <c r="R17" s="2" t="s">
        <v>241</v>
      </c>
      <c r="S17" s="2" t="s">
        <v>242</v>
      </c>
      <c r="T17" s="2" t="s">
        <v>243</v>
      </c>
      <c r="U17" s="2"/>
      <c r="V17" s="2" t="s">
        <v>42</v>
      </c>
      <c r="W17" s="2" t="s">
        <v>244</v>
      </c>
    </row>
    <row r="18" customFormat="false" ht="102.2" hidden="false" customHeight="false" outlineLevel="0" collapsed="false">
      <c r="A18" s="2" t="n">
        <v>17</v>
      </c>
      <c r="B18" s="3" t="s">
        <v>143</v>
      </c>
      <c r="C18" s="2" t="s">
        <v>45</v>
      </c>
      <c r="D18" s="2" t="s">
        <v>245</v>
      </c>
      <c r="E18" s="2" t="s">
        <v>246</v>
      </c>
      <c r="F18" s="2" t="s">
        <v>247</v>
      </c>
      <c r="G18" s="4" t="s">
        <v>248</v>
      </c>
      <c r="H18" s="2"/>
      <c r="I18" s="2" t="s">
        <v>249</v>
      </c>
      <c r="J18" s="2" t="s">
        <v>250</v>
      </c>
      <c r="K18" s="2"/>
      <c r="L18" s="2" t="s">
        <v>251</v>
      </c>
      <c r="M18" s="2" t="s">
        <v>252</v>
      </c>
      <c r="N18" s="2" t="s">
        <v>253</v>
      </c>
      <c r="O18" s="2" t="s">
        <v>254</v>
      </c>
      <c r="P18" s="2" t="s">
        <v>255</v>
      </c>
      <c r="Q18" s="2" t="s">
        <v>256</v>
      </c>
      <c r="R18" s="2" t="s">
        <v>257</v>
      </c>
      <c r="S18" s="2" t="s">
        <v>258</v>
      </c>
      <c r="T18" s="2" t="s">
        <v>259</v>
      </c>
      <c r="U18" s="2" t="s">
        <v>58</v>
      </c>
      <c r="V18" s="2" t="s">
        <v>42</v>
      </c>
      <c r="W18" s="2" t="s">
        <v>260</v>
      </c>
    </row>
    <row r="19" customFormat="false" ht="180.55" hidden="false" customHeight="false" outlineLevel="0" collapsed="false">
      <c r="A19" s="2" t="n">
        <v>18</v>
      </c>
      <c r="B19" s="3" t="s">
        <v>143</v>
      </c>
      <c r="C19" s="2" t="s">
        <v>45</v>
      </c>
      <c r="D19" s="2" t="s">
        <v>261</v>
      </c>
      <c r="E19" s="2" t="s">
        <v>262</v>
      </c>
      <c r="F19" s="2" t="s">
        <v>263</v>
      </c>
      <c r="G19" s="2"/>
      <c r="H19" s="2"/>
      <c r="I19" s="2" t="s">
        <v>264</v>
      </c>
      <c r="J19" s="2"/>
      <c r="K19" s="2"/>
      <c r="L19" s="2"/>
      <c r="M19" s="2"/>
      <c r="N19" s="2"/>
      <c r="O19" s="2" t="s">
        <v>143</v>
      </c>
      <c r="P19" s="2" t="s">
        <v>67</v>
      </c>
      <c r="Q19" s="2" t="s">
        <v>265</v>
      </c>
      <c r="R19" s="2" t="s">
        <v>266</v>
      </c>
      <c r="S19" s="2" t="s">
        <v>267</v>
      </c>
      <c r="T19" s="2" t="s">
        <v>268</v>
      </c>
      <c r="U19" s="2" t="s">
        <v>58</v>
      </c>
      <c r="V19" s="2" t="s">
        <v>42</v>
      </c>
      <c r="W19" s="2" t="s">
        <v>269</v>
      </c>
    </row>
    <row r="20" customFormat="false" ht="158.2" hidden="false" customHeight="false" outlineLevel="0" collapsed="false">
      <c r="A20" s="2" t="n">
        <v>19</v>
      </c>
      <c r="B20" s="3" t="s">
        <v>143</v>
      </c>
      <c r="C20" s="2" t="s">
        <v>45</v>
      </c>
      <c r="D20" s="2" t="s">
        <v>270</v>
      </c>
      <c r="E20" s="2" t="s">
        <v>271</v>
      </c>
      <c r="F20" s="2" t="s">
        <v>27</v>
      </c>
      <c r="G20" s="4" t="s">
        <v>272</v>
      </c>
      <c r="H20" s="2"/>
      <c r="I20" s="2" t="s">
        <v>273</v>
      </c>
      <c r="J20" s="2"/>
      <c r="K20" s="2"/>
      <c r="L20" s="2"/>
      <c r="M20" s="2"/>
      <c r="N20" s="2"/>
      <c r="O20" s="2" t="s">
        <v>274</v>
      </c>
      <c r="P20" s="2" t="s">
        <v>275</v>
      </c>
      <c r="Q20" s="2"/>
      <c r="R20" s="2" t="s">
        <v>276</v>
      </c>
      <c r="S20" s="2" t="s">
        <v>277</v>
      </c>
      <c r="T20" s="2" t="s">
        <v>278</v>
      </c>
      <c r="U20" s="2"/>
      <c r="V20" s="2" t="s">
        <v>42</v>
      </c>
      <c r="W20" s="2" t="s">
        <v>279</v>
      </c>
    </row>
    <row r="21" customFormat="false" ht="158.2" hidden="false" customHeight="false" outlineLevel="0" collapsed="false">
      <c r="A21" s="2" t="n">
        <v>20</v>
      </c>
      <c r="B21" s="3" t="s">
        <v>143</v>
      </c>
      <c r="C21" s="2" t="s">
        <v>45</v>
      </c>
      <c r="D21" s="2" t="s">
        <v>280</v>
      </c>
      <c r="E21" s="2" t="s">
        <v>281</v>
      </c>
      <c r="F21" s="2" t="s">
        <v>282</v>
      </c>
      <c r="G21" s="2" t="s">
        <v>283</v>
      </c>
      <c r="H21" s="2"/>
      <c r="I21" s="2" t="s">
        <v>284</v>
      </c>
      <c r="J21" s="2"/>
      <c r="K21" s="2"/>
      <c r="L21" s="2"/>
      <c r="M21" s="2"/>
      <c r="N21" s="2"/>
      <c r="O21" s="2" t="s">
        <v>285</v>
      </c>
      <c r="P21" s="2" t="s">
        <v>286</v>
      </c>
      <c r="Q21" s="2" t="s">
        <v>287</v>
      </c>
      <c r="R21" s="2" t="s">
        <v>288</v>
      </c>
      <c r="S21" s="2" t="s">
        <v>289</v>
      </c>
      <c r="T21" s="2" t="s">
        <v>290</v>
      </c>
      <c r="U21" s="2"/>
      <c r="V21" s="2" t="s">
        <v>42</v>
      </c>
      <c r="W21" s="2" t="s">
        <v>291</v>
      </c>
    </row>
    <row r="22" customFormat="false" ht="124.6" hidden="false" customHeight="false" outlineLevel="0" collapsed="false">
      <c r="A22" s="2" t="n">
        <v>21</v>
      </c>
      <c r="B22" s="3" t="s">
        <v>292</v>
      </c>
      <c r="C22" s="2" t="s">
        <v>45</v>
      </c>
      <c r="D22" s="2" t="s">
        <v>293</v>
      </c>
      <c r="E22" s="2" t="s">
        <v>294</v>
      </c>
      <c r="F22" s="2" t="s">
        <v>295</v>
      </c>
      <c r="G22" s="2"/>
      <c r="H22" s="4" t="s">
        <v>296</v>
      </c>
      <c r="I22" s="2" t="s">
        <v>297</v>
      </c>
      <c r="J22" s="2"/>
      <c r="K22" s="2"/>
      <c r="L22" s="2" t="s">
        <v>298</v>
      </c>
      <c r="M22" s="2"/>
      <c r="N22" s="2"/>
      <c r="O22" s="2" t="s">
        <v>299</v>
      </c>
      <c r="P22" s="2" t="s">
        <v>67</v>
      </c>
      <c r="Q22" s="2" t="s">
        <v>300</v>
      </c>
      <c r="R22" s="2" t="s">
        <v>301</v>
      </c>
      <c r="S22" s="2" t="s">
        <v>302</v>
      </c>
      <c r="T22" s="2" t="s">
        <v>303</v>
      </c>
      <c r="U22" s="2"/>
      <c r="V22" s="2" t="s">
        <v>42</v>
      </c>
      <c r="W22" s="2" t="s">
        <v>304</v>
      </c>
    </row>
    <row r="23" customFormat="false" ht="102.2" hidden="false" customHeight="false" outlineLevel="0" collapsed="false">
      <c r="A23" s="2" t="n">
        <v>22</v>
      </c>
      <c r="B23" s="3" t="s">
        <v>292</v>
      </c>
      <c r="C23" s="2" t="s">
        <v>45</v>
      </c>
      <c r="D23" s="2"/>
      <c r="E23" s="2" t="s">
        <v>305</v>
      </c>
      <c r="F23" s="2" t="s">
        <v>306</v>
      </c>
      <c r="G23" s="2"/>
      <c r="H23" s="2"/>
      <c r="I23" s="2" t="s">
        <v>307</v>
      </c>
      <c r="J23" s="2"/>
      <c r="K23" s="2"/>
      <c r="L23" s="2"/>
      <c r="M23" s="2"/>
      <c r="N23" s="2"/>
      <c r="O23" s="2"/>
      <c r="P23" s="2" t="s">
        <v>67</v>
      </c>
      <c r="Q23" s="2" t="s">
        <v>308</v>
      </c>
      <c r="R23" s="2" t="s">
        <v>309</v>
      </c>
      <c r="S23" s="2" t="s">
        <v>310</v>
      </c>
      <c r="T23" s="2" t="s">
        <v>311</v>
      </c>
      <c r="U23" s="2"/>
      <c r="V23" s="2" t="s">
        <v>42</v>
      </c>
      <c r="W23" s="2" t="s">
        <v>312</v>
      </c>
    </row>
    <row r="24" customFormat="false" ht="79.85" hidden="false" customHeight="false" outlineLevel="0" collapsed="false">
      <c r="A24" s="2" t="n">
        <v>23</v>
      </c>
      <c r="B24" s="3" t="s">
        <v>313</v>
      </c>
      <c r="C24" s="2" t="s">
        <v>60</v>
      </c>
      <c r="D24" s="2" t="s">
        <v>314</v>
      </c>
      <c r="E24" s="2" t="s">
        <v>315</v>
      </c>
      <c r="F24" s="2" t="s">
        <v>27</v>
      </c>
      <c r="G24" s="4" t="s">
        <v>316</v>
      </c>
      <c r="H24" s="4" t="s">
        <v>317</v>
      </c>
      <c r="I24" s="2" t="s">
        <v>318</v>
      </c>
      <c r="J24" s="2"/>
      <c r="K24" s="2"/>
      <c r="L24" s="2"/>
      <c r="M24" s="2"/>
      <c r="N24" s="2"/>
      <c r="O24" s="2" t="s">
        <v>319</v>
      </c>
      <c r="P24" s="2" t="s">
        <v>320</v>
      </c>
      <c r="Q24" s="2" t="s">
        <v>321</v>
      </c>
      <c r="R24" s="2" t="s">
        <v>322</v>
      </c>
      <c r="S24" s="2" t="s">
        <v>323</v>
      </c>
      <c r="T24" s="2" t="s">
        <v>324</v>
      </c>
      <c r="U24" s="2"/>
      <c r="V24" s="2" t="s">
        <v>42</v>
      </c>
      <c r="W24" s="2" t="s">
        <v>325</v>
      </c>
    </row>
  </sheetData>
  <autoFilter ref="A1:W24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oright.com.tw"/>
    <hyperlink ref="G10" r:id="rId10" display="https://www.aircospascual-anjac.com"/>
    <hyperlink ref="G11" r:id="rId11" display="https://www.cosinus-servicosm.com"/>
    <hyperlink ref="G12" r:id="rId12" display="https://www.desjardin.fr"/>
    <hyperlink ref="H12" r:id="rId13" display="https://www.desjardin.fr/en/categories/cosmetic-packaging"/>
    <hyperlink ref="G13" r:id="rId14" display="www.effervescence-lab.com"/>
    <hyperlink ref="G16" r:id="rId15" display="https://www.laboratoiresbea.com"/>
    <hyperlink ref="G18" r:id="rId16" display="https://www.msbeautilab.com"/>
    <hyperlink ref="G20" r:id="rId17" display="https://simah-cosmetiques.fr"/>
    <hyperlink ref="H22" r:id="rId18" display="https://welcon.kocca.kr/en/directory/company/cosplan-inc--5601"/>
    <hyperlink ref="G24" r:id="rId19" display="https://iwasecosfa.eu"/>
    <hyperlink ref="H24" r:id="rId20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326</v>
      </c>
      <c r="C1" s="5" t="s">
        <v>327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COUNTIF(Контакты!$B$2:$B$24,A2)</f>
        <v>1</v>
      </c>
      <c r="C2" s="6" t="n">
        <f aca="false">COUNTIFS(Контакты!$B$2:$B$24,A2,Контакты!$U$2:$U$24,"Высокий")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COUNTIF(Контакты!$B$2:$B$24,A3)</f>
        <v>6</v>
      </c>
      <c r="C3" s="6" t="n">
        <f aca="false">COUNTIFS(Контакты!$B$2:$B$24,A3,Контакты!$U$2:$U$24,"Высокий")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COUNTIF(Контакты!$B$2:$B$24,A4)</f>
        <v>1</v>
      </c>
      <c r="C4" s="6" t="n">
        <f aca="false">COUNTIFS(Контакты!$B$2:$B$24,A4,Контакты!$U$2:$U$24,"Высокий")</f>
        <v>0</v>
      </c>
    </row>
    <row r="5" customFormat="false" ht="15" hidden="false" customHeight="false" outlineLevel="0" collapsed="false">
      <c r="A5" s="6" t="s">
        <v>143</v>
      </c>
      <c r="B5" s="6" t="n">
        <f aca="false">COUNTIF(Контакты!$B$2:$B$24,A5)</f>
        <v>12</v>
      </c>
      <c r="C5" s="6" t="n">
        <f aca="false">COUNTIFS(Контакты!$B$2:$B$24,A5,Контакты!$U$2:$U$24,"Высокий")</f>
        <v>4</v>
      </c>
    </row>
    <row r="6" customFormat="false" ht="15" hidden="false" customHeight="false" outlineLevel="0" collapsed="false">
      <c r="A6" s="6" t="s">
        <v>292</v>
      </c>
      <c r="B6" s="6" t="n">
        <f aca="false">COUNTIF(Контакты!$B$2:$B$24,A6)</f>
        <v>2</v>
      </c>
      <c r="C6" s="6" t="n">
        <f aca="false">COUNTIFS(Контакты!$B$2:$B$24,A6,Контакты!$U$2:$U$24,"Высокий")</f>
        <v>0</v>
      </c>
    </row>
    <row r="7" customFormat="false" ht="15" hidden="false" customHeight="false" outlineLevel="0" collapsed="false">
      <c r="A7" s="6" t="s">
        <v>313</v>
      </c>
      <c r="B7" s="6" t="n">
        <f aca="false">COUNTIF(Контакты!$B$2:$B$24,A7)</f>
        <v>1</v>
      </c>
      <c r="C7" s="6" t="n">
        <f aca="false">COUNTIFS(Контакты!$B$2:$B$24,A7,Контакты!$U$2:$U$24,"Высокий")</f>
        <v>0</v>
      </c>
    </row>
    <row r="8" customFormat="false" ht="15" hidden="false" customHeight="false" outlineLevel="0" collapsed="false">
      <c r="A8" s="7" t="s">
        <v>328</v>
      </c>
      <c r="B8" s="7" t="n">
        <f aca="false">SUM(B2:B7)</f>
        <v>23</v>
      </c>
      <c r="C8" s="7" t="n">
        <f aca="false">SUM(C2:C7)</f>
        <v>8</v>
      </c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6" t="s">
        <v>2</v>
      </c>
      <c r="B10" s="6" t="s">
        <v>326</v>
      </c>
      <c r="C10" s="6"/>
    </row>
    <row r="11" customFormat="false" ht="15" hidden="false" customHeight="false" outlineLevel="0" collapsed="false">
      <c r="A11" s="6" t="s">
        <v>132</v>
      </c>
      <c r="B11" s="6" t="n">
        <f aca="false">COUNTIF(Контакты!$C$2:$C$24,A11)</f>
        <v>1</v>
      </c>
      <c r="C11" s="6"/>
    </row>
    <row r="12" customFormat="false" ht="15" hidden="false" customHeight="false" outlineLevel="0" collapsed="false">
      <c r="A12" s="6" t="s">
        <v>45</v>
      </c>
      <c r="B12" s="6" t="n">
        <f aca="false">COUNTIF(Контакты!$C$2:$C$24,A12)</f>
        <v>13</v>
      </c>
      <c r="C12" s="6"/>
    </row>
    <row r="13" customFormat="false" ht="15" hidden="false" customHeight="false" outlineLevel="0" collapsed="false">
      <c r="A13" s="6" t="s">
        <v>24</v>
      </c>
      <c r="B13" s="6" t="n">
        <f aca="false">COUNTIF(Контакты!$C$2:$C$24,A13)</f>
        <v>1</v>
      </c>
      <c r="C13" s="6"/>
    </row>
    <row r="14" customFormat="false" ht="15" hidden="false" customHeight="false" outlineLevel="0" collapsed="false">
      <c r="A14" s="6" t="s">
        <v>186</v>
      </c>
      <c r="B14" s="6" t="n">
        <f aca="false">COUNTIF(Контакты!$C$2:$C$24,A14)</f>
        <v>1</v>
      </c>
      <c r="C14" s="6"/>
    </row>
    <row r="15" customFormat="false" ht="15" hidden="false" customHeight="false" outlineLevel="0" collapsed="false">
      <c r="A15" s="6" t="s">
        <v>60</v>
      </c>
      <c r="B15" s="6" t="n">
        <f aca="false">COUNTIF(Контакты!$C$2:$C$24,A15)</f>
        <v>3</v>
      </c>
      <c r="C15" s="6"/>
    </row>
    <row r="16" customFormat="false" ht="15" hidden="false" customHeight="false" outlineLevel="0" collapsed="false">
      <c r="A16" s="6" t="s">
        <v>72</v>
      </c>
      <c r="B16" s="6" t="n">
        <f aca="false">COUNTIF(Контакты!$C$2:$C$24,A16)</f>
        <v>4</v>
      </c>
      <c r="C1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329</v>
      </c>
      <c r="C1" s="5" t="s">
        <v>330</v>
      </c>
      <c r="D1" s="5" t="s">
        <v>331</v>
      </c>
    </row>
    <row r="2" customFormat="false" ht="35.05" hidden="false" customHeight="false" outlineLevel="0" collapsed="false">
      <c r="A2" s="8" t="s">
        <v>332</v>
      </c>
      <c r="B2" s="9" t="s">
        <v>333</v>
      </c>
      <c r="C2" s="9" t="s">
        <v>334</v>
      </c>
      <c r="D2" s="9" t="s">
        <v>335</v>
      </c>
    </row>
    <row r="3" customFormat="false" ht="15" hidden="false" customHeight="false" outlineLevel="0" collapsed="false">
      <c r="A3" s="9" t="s">
        <v>336</v>
      </c>
      <c r="B3" s="9" t="s">
        <v>333</v>
      </c>
      <c r="C3" s="9" t="s">
        <v>337</v>
      </c>
      <c r="D3" s="9" t="s">
        <v>335</v>
      </c>
    </row>
    <row r="4" customFormat="false" ht="23.85" hidden="false" customHeight="false" outlineLevel="0" collapsed="false">
      <c r="A4" s="8" t="s">
        <v>338</v>
      </c>
      <c r="B4" s="9" t="s">
        <v>60</v>
      </c>
      <c r="C4" s="9" t="s">
        <v>339</v>
      </c>
      <c r="D4" s="9" t="s">
        <v>340</v>
      </c>
    </row>
    <row r="5" customFormat="false" ht="35.05" hidden="false" customHeight="false" outlineLevel="0" collapsed="false">
      <c r="A5" s="9" t="s">
        <v>341</v>
      </c>
      <c r="B5" s="9" t="s">
        <v>342</v>
      </c>
      <c r="C5" s="9" t="s">
        <v>343</v>
      </c>
      <c r="D5" s="9" t="s">
        <v>344</v>
      </c>
    </row>
    <row r="6" customFormat="false" ht="23.85" hidden="false" customHeight="false" outlineLevel="0" collapsed="false">
      <c r="A6" s="8" t="s">
        <v>345</v>
      </c>
      <c r="B6" s="9" t="s">
        <v>60</v>
      </c>
      <c r="C6" s="9" t="s">
        <v>346</v>
      </c>
      <c r="D6" s="9" t="s">
        <v>347</v>
      </c>
    </row>
    <row r="7" customFormat="false" ht="23.85" hidden="false" customHeight="false" outlineLevel="0" collapsed="false">
      <c r="A7" s="8" t="s">
        <v>348</v>
      </c>
      <c r="B7" s="9" t="s">
        <v>60</v>
      </c>
      <c r="C7" s="9" t="s">
        <v>349</v>
      </c>
      <c r="D7" s="9" t="s">
        <v>347</v>
      </c>
    </row>
    <row r="8" customFormat="false" ht="25.35" hidden="false" customHeight="false" outlineLevel="0" collapsed="false">
      <c r="A8" s="8" t="s">
        <v>350</v>
      </c>
      <c r="B8" s="9" t="s">
        <v>60</v>
      </c>
      <c r="C8" s="9" t="s">
        <v>351</v>
      </c>
      <c r="D8" s="9" t="s">
        <v>335</v>
      </c>
    </row>
    <row r="9" customFormat="false" ht="15" hidden="false" customHeight="false" outlineLevel="0" collapsed="false">
      <c r="A9" s="8" t="s">
        <v>352</v>
      </c>
      <c r="B9" s="9" t="s">
        <v>60</v>
      </c>
      <c r="C9" s="9" t="s">
        <v>353</v>
      </c>
      <c r="D9" s="9" t="s">
        <v>335</v>
      </c>
    </row>
    <row r="10" customFormat="false" ht="23.85" hidden="false" customHeight="false" outlineLevel="0" collapsed="false">
      <c r="A10" s="9" t="s">
        <v>354</v>
      </c>
      <c r="B10" s="9" t="s">
        <v>355</v>
      </c>
      <c r="C10" s="9" t="s">
        <v>356</v>
      </c>
      <c r="D10" s="9" t="s">
        <v>347</v>
      </c>
    </row>
    <row r="11" customFormat="false" ht="23.85" hidden="false" customHeight="false" outlineLevel="0" collapsed="false">
      <c r="A11" s="9" t="s">
        <v>357</v>
      </c>
      <c r="B11" s="9" t="s">
        <v>355</v>
      </c>
      <c r="C11" s="9" t="s">
        <v>358</v>
      </c>
      <c r="D11" s="9" t="s">
        <v>347</v>
      </c>
    </row>
    <row r="12" customFormat="false" ht="23.85" hidden="false" customHeight="false" outlineLevel="0" collapsed="false">
      <c r="A12" s="9" t="s">
        <v>359</v>
      </c>
      <c r="B12" s="9" t="s">
        <v>355</v>
      </c>
      <c r="C12" s="9" t="s">
        <v>360</v>
      </c>
      <c r="D12" s="9" t="s">
        <v>347</v>
      </c>
    </row>
    <row r="13" customFormat="false" ht="23.85" hidden="false" customHeight="false" outlineLevel="0" collapsed="false">
      <c r="A13" s="9" t="s">
        <v>361</v>
      </c>
      <c r="B13" s="9" t="s">
        <v>355</v>
      </c>
      <c r="C13" s="9" t="s">
        <v>362</v>
      </c>
      <c r="D13" s="9" t="s">
        <v>347</v>
      </c>
    </row>
    <row r="14" customFormat="false" ht="23.85" hidden="false" customHeight="false" outlineLevel="0" collapsed="false">
      <c r="A14" s="8" t="s">
        <v>363</v>
      </c>
      <c r="B14" s="9" t="s">
        <v>355</v>
      </c>
      <c r="C14" s="9" t="s">
        <v>364</v>
      </c>
      <c r="D14" s="9" t="s">
        <v>347</v>
      </c>
    </row>
    <row r="15" customFormat="false" ht="23.85" hidden="false" customHeight="false" outlineLevel="0" collapsed="false">
      <c r="A15" s="8" t="s">
        <v>365</v>
      </c>
      <c r="B15" s="9" t="s">
        <v>355</v>
      </c>
      <c r="C15" s="9" t="s">
        <v>366</v>
      </c>
      <c r="D15" s="9" t="s">
        <v>347</v>
      </c>
    </row>
    <row r="16" customFormat="false" ht="23.85" hidden="false" customHeight="false" outlineLevel="0" collapsed="false">
      <c r="A16" s="8" t="s">
        <v>367</v>
      </c>
      <c r="B16" s="9" t="s">
        <v>355</v>
      </c>
      <c r="C16" s="9" t="s">
        <v>368</v>
      </c>
      <c r="D16" s="9" t="s">
        <v>347</v>
      </c>
    </row>
    <row r="17" customFormat="false" ht="15" hidden="false" customHeight="false" outlineLevel="0" collapsed="false">
      <c r="A17" s="8" t="s">
        <v>369</v>
      </c>
      <c r="B17" s="9" t="s">
        <v>355</v>
      </c>
      <c r="C17" s="9" t="s">
        <v>370</v>
      </c>
      <c r="D17" s="9" t="s">
        <v>335</v>
      </c>
    </row>
    <row r="18" customFormat="false" ht="23.85" hidden="false" customHeight="false" outlineLevel="0" collapsed="false">
      <c r="A18" s="8" t="s">
        <v>371</v>
      </c>
      <c r="B18" s="9" t="s">
        <v>355</v>
      </c>
      <c r="C18" s="9" t="s">
        <v>372</v>
      </c>
      <c r="D18" s="9" t="s">
        <v>347</v>
      </c>
    </row>
    <row r="19" customFormat="false" ht="23.85" hidden="false" customHeight="false" outlineLevel="0" collapsed="false">
      <c r="A19" s="8" t="s">
        <v>373</v>
      </c>
      <c r="B19" s="9" t="s">
        <v>355</v>
      </c>
      <c r="C19" s="9" t="s">
        <v>374</v>
      </c>
      <c r="D19" s="9" t="s">
        <v>347</v>
      </c>
    </row>
    <row r="20" customFormat="false" ht="23.85" hidden="false" customHeight="false" outlineLevel="0" collapsed="false">
      <c r="A20" s="8" t="s">
        <v>375</v>
      </c>
      <c r="B20" s="9" t="s">
        <v>355</v>
      </c>
      <c r="C20" s="9" t="s">
        <v>374</v>
      </c>
      <c r="D20" s="9" t="s">
        <v>347</v>
      </c>
    </row>
    <row r="21" customFormat="false" ht="15" hidden="false" customHeight="false" outlineLevel="0" collapsed="false">
      <c r="A21" s="8" t="s">
        <v>376</v>
      </c>
      <c r="B21" s="9" t="s">
        <v>355</v>
      </c>
      <c r="C21" s="9" t="s">
        <v>377</v>
      </c>
      <c r="D21" s="9" t="s">
        <v>335</v>
      </c>
    </row>
    <row r="22" customFormat="false" ht="23.85" hidden="false" customHeight="false" outlineLevel="0" collapsed="false">
      <c r="A22" s="8" t="s">
        <v>378</v>
      </c>
      <c r="B22" s="9" t="s">
        <v>355</v>
      </c>
      <c r="C22" s="9" t="s">
        <v>379</v>
      </c>
      <c r="D22" s="9" t="s">
        <v>347</v>
      </c>
    </row>
    <row r="23" customFormat="false" ht="15" hidden="false" customHeight="false" outlineLevel="0" collapsed="false">
      <c r="A23" s="8" t="s">
        <v>380</v>
      </c>
      <c r="B23" s="9" t="s">
        <v>355</v>
      </c>
      <c r="C23" s="9" t="s">
        <v>381</v>
      </c>
      <c r="D23" s="9" t="s">
        <v>335</v>
      </c>
    </row>
    <row r="24" customFormat="false" ht="23.85" hidden="false" customHeight="false" outlineLevel="0" collapsed="false">
      <c r="A24" s="8" t="s">
        <v>382</v>
      </c>
      <c r="B24" s="9" t="s">
        <v>355</v>
      </c>
      <c r="C24" s="9" t="s">
        <v>372</v>
      </c>
      <c r="D24" s="9" t="s">
        <v>347</v>
      </c>
    </row>
    <row r="25" customFormat="false" ht="23.85" hidden="false" customHeight="false" outlineLevel="0" collapsed="false">
      <c r="A25" s="8" t="s">
        <v>383</v>
      </c>
      <c r="B25" s="9" t="s">
        <v>355</v>
      </c>
      <c r="C25" s="9" t="s">
        <v>384</v>
      </c>
      <c r="D25" s="9" t="s">
        <v>347</v>
      </c>
    </row>
    <row r="26" customFormat="false" ht="23.85" hidden="false" customHeight="false" outlineLevel="0" collapsed="false">
      <c r="A26" s="9" t="s">
        <v>385</v>
      </c>
      <c r="B26" s="9" t="s">
        <v>355</v>
      </c>
      <c r="C26" s="9" t="s">
        <v>374</v>
      </c>
      <c r="D26" s="9" t="s">
        <v>347</v>
      </c>
    </row>
    <row r="27" customFormat="false" ht="23.85" hidden="false" customHeight="false" outlineLevel="0" collapsed="false">
      <c r="A27" s="9" t="s">
        <v>386</v>
      </c>
      <c r="B27" s="9" t="s">
        <v>355</v>
      </c>
      <c r="C27" s="9" t="s">
        <v>387</v>
      </c>
      <c r="D27" s="9" t="s">
        <v>347</v>
      </c>
    </row>
    <row r="28" customFormat="false" ht="23.85" hidden="false" customHeight="false" outlineLevel="0" collapsed="false">
      <c r="A28" s="8" t="s">
        <v>388</v>
      </c>
      <c r="B28" s="9" t="s">
        <v>355</v>
      </c>
      <c r="C28" s="9" t="s">
        <v>389</v>
      </c>
      <c r="D28" s="9" t="s">
        <v>347</v>
      </c>
    </row>
    <row r="29" customFormat="false" ht="23.85" hidden="false" customHeight="false" outlineLevel="0" collapsed="false">
      <c r="A29" s="8" t="s">
        <v>390</v>
      </c>
      <c r="B29" s="9" t="s">
        <v>355</v>
      </c>
      <c r="C29" s="9" t="s">
        <v>391</v>
      </c>
      <c r="D29" s="9" t="s">
        <v>347</v>
      </c>
    </row>
    <row r="30" customFormat="false" ht="15" hidden="false" customHeight="false" outlineLevel="0" collapsed="false">
      <c r="A30" s="8" t="s">
        <v>392</v>
      </c>
      <c r="B30" s="9" t="s">
        <v>355</v>
      </c>
      <c r="C30" s="9" t="s">
        <v>393</v>
      </c>
      <c r="D30" s="9" t="s">
        <v>335</v>
      </c>
    </row>
    <row r="31" customFormat="false" ht="15" hidden="false" customHeight="false" outlineLevel="0" collapsed="false">
      <c r="A31" s="8" t="s">
        <v>394</v>
      </c>
      <c r="B31" s="9" t="s">
        <v>355</v>
      </c>
      <c r="C31" s="9" t="s">
        <v>395</v>
      </c>
      <c r="D31" s="9" t="s">
        <v>335</v>
      </c>
    </row>
    <row r="32" customFormat="false" ht="23.85" hidden="false" customHeight="false" outlineLevel="0" collapsed="false">
      <c r="A32" s="9" t="s">
        <v>396</v>
      </c>
      <c r="B32" s="9" t="s">
        <v>355</v>
      </c>
      <c r="C32" s="9" t="s">
        <v>397</v>
      </c>
      <c r="D32" s="9" t="s">
        <v>347</v>
      </c>
    </row>
    <row r="33" customFormat="false" ht="23.85" hidden="false" customHeight="false" outlineLevel="0" collapsed="false">
      <c r="A33" s="9" t="s">
        <v>398</v>
      </c>
      <c r="B33" s="9" t="s">
        <v>355</v>
      </c>
      <c r="C33" s="9" t="s">
        <v>374</v>
      </c>
      <c r="D33" s="9" t="s">
        <v>347</v>
      </c>
    </row>
    <row r="34" customFormat="false" ht="23.85" hidden="false" customHeight="false" outlineLevel="0" collapsed="false">
      <c r="A34" s="9" t="s">
        <v>399</v>
      </c>
      <c r="B34" s="9" t="s">
        <v>355</v>
      </c>
      <c r="C34" s="9" t="s">
        <v>400</v>
      </c>
      <c r="D34" s="9" t="s">
        <v>347</v>
      </c>
    </row>
    <row r="35" customFormat="false" ht="15" hidden="false" customHeight="false" outlineLevel="0" collapsed="false">
      <c r="A35" s="9" t="s">
        <v>401</v>
      </c>
      <c r="B35" s="9" t="s">
        <v>342</v>
      </c>
      <c r="C35" s="9"/>
      <c r="D35" s="9" t="s">
        <v>402</v>
      </c>
    </row>
    <row r="36" customFormat="false" ht="15" hidden="false" customHeight="false" outlineLevel="0" collapsed="false">
      <c r="A36" s="8" t="s">
        <v>403</v>
      </c>
      <c r="B36" s="9" t="s">
        <v>342</v>
      </c>
      <c r="C36" s="9"/>
      <c r="D36" s="9" t="s">
        <v>402</v>
      </c>
    </row>
    <row r="37" customFormat="false" ht="15" hidden="false" customHeight="false" outlineLevel="0" collapsed="false">
      <c r="A37" s="8" t="s">
        <v>404</v>
      </c>
      <c r="B37" s="9" t="s">
        <v>342</v>
      </c>
      <c r="C37" s="9"/>
      <c r="D37" s="9" t="s">
        <v>402</v>
      </c>
    </row>
    <row r="38" customFormat="false" ht="15" hidden="false" customHeight="false" outlineLevel="0" collapsed="false">
      <c r="A38" s="9" t="s">
        <v>405</v>
      </c>
      <c r="B38" s="9" t="s">
        <v>342</v>
      </c>
      <c r="C38" s="9"/>
      <c r="D38" s="9" t="s">
        <v>402</v>
      </c>
    </row>
    <row r="39" customFormat="false" ht="15" hidden="false" customHeight="false" outlineLevel="0" collapsed="false">
      <c r="A39" s="9" t="s">
        <v>406</v>
      </c>
      <c r="B39" s="9" t="s">
        <v>342</v>
      </c>
      <c r="C39" s="9"/>
      <c r="D39" s="9" t="s">
        <v>402</v>
      </c>
    </row>
    <row r="40" customFormat="false" ht="15" hidden="false" customHeight="false" outlineLevel="0" collapsed="false">
      <c r="A40" s="8" t="s">
        <v>407</v>
      </c>
      <c r="B40" s="9" t="s">
        <v>342</v>
      </c>
      <c r="C40" s="9"/>
      <c r="D40" s="9" t="s">
        <v>402</v>
      </c>
    </row>
    <row r="41" customFormat="false" ht="15" hidden="false" customHeight="false" outlineLevel="0" collapsed="false">
      <c r="A41" s="9" t="s">
        <v>408</v>
      </c>
      <c r="B41" s="9" t="s">
        <v>342</v>
      </c>
      <c r="C41" s="9"/>
      <c r="D41" s="9" t="s">
        <v>402</v>
      </c>
    </row>
    <row r="42" customFormat="false" ht="15" hidden="false" customHeight="false" outlineLevel="0" collapsed="false">
      <c r="A42" s="9" t="s">
        <v>409</v>
      </c>
      <c r="B42" s="9" t="s">
        <v>342</v>
      </c>
      <c r="C42" s="9" t="s">
        <v>410</v>
      </c>
      <c r="D42" s="9" t="s">
        <v>402</v>
      </c>
    </row>
    <row r="43" customFormat="false" ht="15" hidden="false" customHeight="false" outlineLevel="0" collapsed="false">
      <c r="A43" s="8" t="s">
        <v>411</v>
      </c>
      <c r="B43" s="9" t="s">
        <v>342</v>
      </c>
      <c r="C43" s="9"/>
      <c r="D43" s="9" t="s">
        <v>402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2026-10-14T15:38:10Z</dcterms:created>
  <dc:creator>openpyxl</dc:creator>
  <dc:description/>
  <dc:language>en-US</dc:language>
  <cp:lastModifiedBy/>
  <dcterms:modified xsi:type="dcterms:W3CDTF">2026-10-14T15:38:10Z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