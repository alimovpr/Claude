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Контакты!$A$1:$T$2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<sst xmlns="http://schemas.openxmlformats.org/spreadsheetml/2006/main" count="43" uniqueCount="41">
  <si>
    <t xml:space="preserve">№</t>
  </si>
  <si>
    <t xml:space="preserve">Страна производства</t>
  </si>
  <si>
    <t xml:space="preserve">Город / регион</t>
  </si>
  <si>
    <t xml:space="preserve">Компания</t>
  </si>
  <si>
    <t xml:space="preserve">Сайт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</si>
  <si>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</si>
  <si>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</si>
  <si>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</si>
  <si>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</si>
  <si>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</si>
  <si>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</si>
  <si>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</si>
  <si>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</si>
  <si>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</si>
  <si>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</si>
  <si>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</si>
  <si>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</si>
  <si>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</si>
  <si>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</si>
  <si>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</si>
  <si>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Китай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</si>
  <si>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</si>
  <si>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</si>
  <si>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</si>
  <si>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</si>
  <si>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</si>
  <si>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</si>
  <si>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</si>
  <si>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</si>
  <si>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</si>
  <si>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</si>
  <si>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</si>
  <si>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</si>
  <si>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</si>
  <si>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</si>
  <si>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</si>
  <si>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2026-10-14</t>
  </si>
  <si>
    <t xml:space="preserve">photos/001_kava.jpg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</si>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</sst>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6" min="6" style="0" width="45"/>
    <col collapsed="false" customWidth="true" hidden="false" outlineLevel="0" max="9" min="7" style="0" width="18"/>
    <col collapsed="false" customWidth="true" hidden="false" outlineLevel="0" max="10" min="10" style="0" width="24"/>
    <col collapsed="false" customWidth="true" hidden="false" outlineLevel="0" max="11" min="11" style="0" width="16"/>
    <col collapsed="false" customWidth="true" hidden="false" outlineLevel="0" max="12" min="12" style="0" width="36"/>
    <col collapsed="false" customWidth="true" hidden="false" outlineLevel="0" max="13" min="13" style="0" width="22"/>
    <col collapsed="false" customWidth="true" hidden="false" outlineLevel="0" max="14" min="14" style="0" width="30"/>
    <col collapsed="false" customWidth="true" hidden="false" outlineLevel="0" max="15" min="15" style="0" width="50"/>
    <col collapsed="false" customWidth="true" hidden="false" outlineLevel="0" max="16" min="16" style="0" width="30"/>
    <col collapsed="false" customWidth="true" hidden="false" outlineLevel="0" max="17" min="17" style="0" width="32"/>
    <col collapsed="false" customWidth="true" hidden="false" outlineLevel="0" max="19" min="18" style="0" width="11"/>
    <col collapsed="false" customWidth="true" hidden="false" outlineLevel="0" max="20" min="20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customFormat="false" ht="57.45" hidden="false" customHeight="false" outlineLevel="0" collapsed="false">
      <c r="A2" s="2" t="n">
        <v>1</v>
      </c>
      <c r="B2" s="3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/>
      <c r="L2" s="2" t="s">
        <v>29</v>
      </c>
      <c r="M2" s="2" t="s">
        <v>30</v>
      </c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</row>
  </sheetData>
  <autoFilter ref="A1:T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4" t="s">
        <v>1</v>
      </c>
      <c r="B1" s="4" t="s">
        <v>38</v>
      </c>
      <c r="C1" s="4" t="s">
        <v>39</v>
      </c>
    </row>
    <row r="2" customFormat="false" ht="15" hidden="false" customHeight="false" outlineLevel="0" collapsed="false">
      <c r="A2" s="5" t="s">
        <v>20</v>
      </c>
      <c r="B2" s="5" t="n">
        <f aca="false">COUNTIF(Контакты!$B$2:$B$2,A2)</f>
        <v>1</v>
      </c>
      <c r="C2" s="5" t="n">
        <f aca="false">COUNTIFS(Контакты!$B$2:$B$2,A2,Контакты!$R$2:$R$2,"Высокий")</f>
        <v>1</v>
      </c>
    </row>
    <row r="3" customFormat="false" ht="15" hidden="false" customHeight="false" outlineLevel="0" collapsed="false">
      <c r="A3" s="6" t="s">
        <v>40</v>
      </c>
      <c r="B3" s="6" t="n">
        <f aca="false">SUM(B2:B2)</f>
        <v>1</v>
      </c>
      <c r="C3" s="6" t="n">
        <f aca="false">SUM(C2:C2)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2026-10-14T09:55:30Z</dcterms:created>
  <dc:creator>openpyxl</dc:creator>
  <dc:description/>
  <dc:language>en-US</dc:language>
  <cp:lastModifiedBy/>
  <dcterms:modified xsi:type="dcterms:W3CDTF">2026-10-14T09:55:30Z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