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ы" sheetId="1" state="visible" r:id="rId1"/>
    <sheet xmlns:r="http://schemas.openxmlformats.org/officeDocument/2006/relationships" name="По странам" sheetId="2" state="visible" r:id="rId2"/>
    <sheet xmlns:r="http://schemas.openxmlformats.org/officeDocument/2006/relationships" name="Стенд INPD (Китай)" sheetId="3" state="visible" r:id="rId3"/>
  </sheets>
  <definedNames>
    <definedName name="_xlnm._FilterDatabase" localSheetId="0" hidden="1">'Контакты'!$A$1:$W$17</definedName>
    <definedName name="_xlnm._FilterDatabase" localSheetId="2" hidden="1">'Стенд INPD (Китай)'!$A$1:$D$43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achser.fr" TargetMode="External" Id="rId1"/><Relationship Type="http://schemas.openxmlformats.org/officeDocument/2006/relationships/hyperlink" Target="https://www.dachser.com/en/cosmetic-logistics" TargetMode="External" Id="rId2"/><Relationship Type="http://schemas.openxmlformats.org/officeDocument/2006/relationships/hyperlink" Target="https://www.biotruly.com" TargetMode="External" Id="rId3"/><Relationship Type="http://schemas.openxmlformats.org/officeDocument/2006/relationships/hyperlink" Target="https://www.biotruly.com/zh-CN/project" TargetMode="External" Id="rId4"/><Relationship Type="http://schemas.openxmlformats.org/officeDocument/2006/relationships/hyperlink" Target="https://en.chandogroup.com" TargetMode="External" Id="rId5"/><Relationship Type="http://schemas.openxmlformats.org/officeDocument/2006/relationships/hyperlink" Target="https://www.kava.cn" TargetMode="External" Id="rId6"/><Relationship Type="http://schemas.openxmlformats.org/officeDocument/2006/relationships/hyperlink" Target="https://www.lamerbeauty.uk" TargetMode="External" Id="rId7"/><Relationship Type="http://schemas.openxmlformats.org/officeDocument/2006/relationships/hyperlink" Target="https://www.aircospascual-anjac.com" TargetMode="External" Id="rId8"/><Relationship Type="http://schemas.openxmlformats.org/officeDocument/2006/relationships/hyperlink" Target="https://www.desjardin.fr" TargetMode="External" Id="rId9"/><Relationship Type="http://schemas.openxmlformats.org/officeDocument/2006/relationships/hyperlink" Target="https://www.desjardin.fr/en/categories/cosmetic-packaging" TargetMode="External" Id="rId10"/><Relationship Type="http://schemas.openxmlformats.org/officeDocument/2006/relationships/hyperlink" Target="https://www.effervescence-lab.com" TargetMode="External" Id="rId11"/><Relationship Type="http://schemas.openxmlformats.org/officeDocument/2006/relationships/hyperlink" Target="https://simah-cosmetiques.fr" TargetMode="External" Id="rId12"/><Relationship Type="http://schemas.openxmlformats.org/officeDocument/2006/relationships/hyperlink" Target="https://welcon.kocca.kr/en/directory/company/cosplan-inc--5601" TargetMode="External" Id="rId13"/><Relationship Type="http://schemas.openxmlformats.org/officeDocument/2006/relationships/hyperlink" Target="https://iwasecosfa.eu" TargetMode="External" Id="rId14"/><Relationship Type="http://schemas.openxmlformats.org/officeDocument/2006/relationships/hyperlink" Target="https://iwasecosfa-eu.covalo.com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2" customWidth="1" min="4" max="4"/>
    <col width="24" customWidth="1" min="5" max="5"/>
    <col width="20" customWidth="1" min="6" max="6"/>
    <col width="18" customWidth="1" min="7" max="7"/>
    <col width="28" customWidth="1" min="8" max="8"/>
    <col width="45" customWidth="1" min="9" max="9"/>
    <col width="18" customWidth="1" min="10" max="10"/>
    <col width="18" customWidth="1" min="11" max="11"/>
    <col width="18" customWidth="1" min="12" max="12"/>
    <col width="24" customWidth="1" min="13" max="13"/>
    <col width="16" customWidth="1" min="14" max="14"/>
    <col width="36" customWidth="1" min="15" max="15"/>
    <col width="22" customWidth="1" min="16" max="16"/>
    <col width="30" customWidth="1" min="17" max="17"/>
    <col width="50" customWidth="1" min="18" max="18"/>
    <col width="30" customWidth="1" min="19" max="19"/>
    <col width="32" customWidth="1" min="20" max="20"/>
    <col width="11" customWidth="1" min="21" max="21"/>
    <col width="11" customWidth="1" min="22" max="22"/>
    <col width="18" customWidth="1" min="23" max="23"/>
  </cols>
  <sheetData>
    <row r="1">
      <c r="A1" s="1" t="inlineStr">
        <is>
          <t>№</t>
        </is>
      </c>
      <c r="B1" s="1" t="inlineStr">
        <is>
          <t>Страна производства</t>
        </is>
      </c>
      <c r="C1" s="1" t="inlineStr">
        <is>
          <t>Тип компании</t>
        </is>
      </c>
      <c r="D1" s="1" t="inlineStr">
        <is>
          <t>Город / регион</t>
        </is>
      </c>
      <c r="E1" s="1" t="inlineStr">
        <is>
          <t>Компания</t>
        </is>
      </c>
      <c r="F1" s="1" t="inlineStr">
        <is>
          <t>Выставка / стенд</t>
        </is>
      </c>
      <c r="G1" s="1" t="inlineStr">
        <is>
          <t>Сайт</t>
        </is>
      </c>
      <c r="H1" s="1" t="inlineStr">
        <is>
          <t>Каталог</t>
        </is>
      </c>
      <c r="I1" s="1" t="inlineStr">
        <is>
          <t>Что производят</t>
        </is>
      </c>
      <c r="J1" s="1" t="inlineStr">
        <is>
          <t>Контакт (по визитке)</t>
        </is>
      </c>
      <c r="K1" s="1" t="inlineStr">
        <is>
          <t>Как представился</t>
        </is>
      </c>
      <c r="L1" s="1" t="inlineStr">
        <is>
          <t>Должность</t>
        </is>
      </c>
      <c r="M1" s="1" t="inlineStr">
        <is>
          <t>Email</t>
        </is>
      </c>
      <c r="N1" s="1" t="inlineStr">
        <is>
          <t>Телефон</t>
        </is>
      </c>
      <c r="O1" s="1" t="inlineStr">
        <is>
          <t>Адрес / офисы</t>
        </is>
      </c>
      <c r="P1" s="1" t="inlineStr">
        <is>
          <t>Пометки на визитке</t>
        </is>
      </c>
      <c r="Q1" s="1" t="inlineStr">
        <is>
          <t>Что обсуждали / интерес</t>
        </is>
      </c>
      <c r="R1" s="1" t="inlineStr">
        <is>
          <t>Найдено в интернете</t>
        </is>
      </c>
      <c r="S1" s="1" t="inlineStr">
        <is>
          <t>Источники</t>
        </is>
      </c>
      <c r="T1" s="1" t="inlineStr">
        <is>
          <t>Следующий шаг</t>
        </is>
      </c>
      <c r="U1" s="1" t="inlineStr">
        <is>
          <t>Приоритет</t>
        </is>
      </c>
      <c r="V1" s="1" t="inlineStr">
        <is>
          <t>Дата</t>
        </is>
      </c>
      <c r="W1" s="1" t="inlineStr">
        <is>
          <t>Фото</t>
        </is>
      </c>
    </row>
    <row r="2">
      <c r="A2" s="2" t="n">
        <v>1</v>
      </c>
      <c r="B2" s="3" t="inlineStr">
        <is>
          <t>Германия</t>
        </is>
      </c>
      <c r="C2" s="2" t="inlineStr">
        <is>
          <t>Логистика</t>
        </is>
      </c>
      <c r="D2" s="2" t="inlineStr">
        <is>
          <t>Головной офис группы: Кемптен, Германия. Французский офис: Шанверри (Вандея); косметический склад — Жанвиль-ан-Бос</t>
        </is>
      </c>
      <c r="E2" s="2" t="inlineStr">
        <is>
          <t>DACHSER France S.A.S. (DACHSER Cosmetics Logistics)</t>
        </is>
      </c>
      <c r="F2" s="2" t="inlineStr">
        <is>
          <t>Cosmetic 360</t>
        </is>
      </c>
      <c r="G2" s="4" t="inlineStr">
        <is>
          <t>https://www.dachser.fr</t>
        </is>
      </c>
      <c r="H2" s="4" t="inlineStr">
        <is>
          <t>https://www.dachser.com/en/cosmetic-logistics</t>
        </is>
      </c>
      <c r="I2" s="2" t="inlineStr">
        <is>
          <t>Логистика для косметики и парфюмерии: доставка по Европе и миру, контрактное складирование, авиа- и морские перевозки. Доп. услуги: распаковка паллет, возвраты и нераспроданное, сборка и установка дисплеев, комплектация коробок</t>
        </is>
      </c>
      <c r="J2" s="2" t="inlineStr">
        <is>
          <t>Alexandre Ilias</t>
        </is>
      </c>
      <c r="K2" s="2" t="inlineStr"/>
      <c r="L2" s="2" t="inlineStr">
        <is>
          <t>Business Development Manager, DACHSER Cosmetics Logistics — Франция, Магриб, Турция</t>
        </is>
      </c>
      <c r="M2" s="2" t="inlineStr">
        <is>
          <t>alexandre.ilias@dachser.com</t>
        </is>
      </c>
      <c r="N2" s="2" t="inlineStr">
        <is>
          <t>+33 6 07 86 48 57</t>
        </is>
      </c>
      <c r="O2" s="2" t="inlineStr">
        <is>
          <t>DACHSER France S.A.S., Regional Head Office France &amp; Maghreb, 1 avenue de l'Europe, CS 80007 – La Verrie, 85130 Chanverrie, Франция</t>
        </is>
      </c>
      <c r="P2" s="2" t="inlineStr">
        <is>
          <t>Визитка</t>
        </is>
      </c>
      <c r="Q2" s="2" t="inlineStr">
        <is>
          <t>Не общались — взяли визитку на всякий случай</t>
        </is>
      </c>
      <c r="R2" s="2" t="inlineStr">
        <is>
          <t>DACHSER — крупный немецкий логистический оператор. Отраслевое решение Cosmetics Logistics запущено сначала во Франции, затем в Испании и Португалии. Склады заточены под косметику, прямой доступ к европейской транспортной сети. Оценка EcoVadis, статус Full AEO (упрощённое таможенное оформление), ISO 27001; видеонаблюдение на складах, мониторинг машин; электромобили для доставки.</t>
        </is>
      </c>
      <c r="S2" s="2" t="inlineStr">
        <is>
          <t>https://www.dachser.com/en/cosmetic-logistics ; https://www.cosmetic-valley.com/en/annuaire-entreprises/dachser-cosmetics-logistics ; https://www.dachser.com/en/mediaroom/Cosmetics-in-expert-hands-21097 ; https://www.industries-cosmetiques.fr/en/a-new-logistics-solution-for-cosmetics-professionals/</t>
        </is>
      </c>
      <c r="T2" s="2" t="inlineStr">
        <is>
          <t>На случай поставок из Франции/ЕС: запросить условия и тарифы на доставку и складирование</t>
        </is>
      </c>
      <c r="U2" s="2" t="inlineStr">
        <is>
          <t>Низкий</t>
        </is>
      </c>
      <c r="V2" s="2" t="inlineStr">
        <is>
          <t>2026-10-14</t>
        </is>
      </c>
      <c r="W2" s="2" t="inlineStr">
        <is>
          <t>photos/005_dachser.jpg</t>
        </is>
      </c>
    </row>
    <row r="3">
      <c r="A3" s="2" t="n">
        <v>2</v>
      </c>
      <c r="B3" s="3" t="inlineStr">
        <is>
          <t>Китай</t>
        </is>
      </c>
      <c r="C3" s="2" t="inlineStr">
        <is>
          <t>Контрактное производство</t>
        </is>
      </c>
      <c r="D3" s="2" t="inlineStr">
        <is>
          <t>Шанхай, промзона Цзиньшань</t>
        </is>
      </c>
      <c r="E3" s="2" t="inlineStr">
        <is>
          <t>BIOTRULY 全丽 (Shanghai Quanli / 上海全丽生物科技有限公司)</t>
        </is>
      </c>
      <c r="F3" s="2" t="inlineStr">
        <is>
          <t>Cosmetic 360 / INPD, китайская зона (логотип на общем стенде)</t>
        </is>
      </c>
      <c r="G3" s="4" t="inlineStr">
        <is>
          <t>https://www.biotruly.com</t>
        </is>
      </c>
      <c r="H3" s="4" t="inlineStr">
        <is>
          <t>https://www.biotruly.com/zh-CN/project</t>
        </is>
      </c>
      <c r="I3" s="2" t="inlineStr">
        <is>
          <t>ODM: разработка и массовое производство натурального ухода за кожей, акцент на ферментацию растений и продукты без консервантов. Полный цикл: собственные ферментированные ингредиенты, производство косметики, производство тары (флаконов/банок). Свои формулы и оборудование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Промзона Цзиньшань (金山工业区), Шанхай, Китай — точный адрес не найден</t>
        </is>
      </c>
      <c r="P3" s="2" t="inlineStr">
        <is>
          <t>Логотип на стене китайских компаний (INPD)</t>
        </is>
      </c>
      <c r="Q3" s="2" t="inlineStr">
        <is>
          <t>Не общались — нашли по стене стенда</t>
        </is>
      </c>
      <c r="R3" s="2" t="inlineStr">
        <is>
          <t>Основана в октябре 2014 г. По сайту: «тайваньская компания, фабрики в Китае», 9 фабрик. Сертификат ISO 22716 (GMP для косметики, версия ЕС). По данным статьи на Zhihu (может быть устаревшей), делали продукцию для Herborist (佰草集), Yunnan Baiyao, AFU (阿芙), Kans (高姿), Morita, 御泥坊 и др.; свои марки — 猪猪家, 才木始. В отраслевых отчётах упоминается среди ключевых OEM/ODM-производителей. Контакты (телефон, почта) в открытых источниках не найдены; сайт из этой сессии не открывается.</t>
        </is>
      </c>
      <c r="S3" s="2" t="inlineStr">
        <is>
          <t>https://www.biotruly.com/zh-CN/about ; https://www.biotruly.com/zh-CN/facility ; https://pitchhub.36kr.com/project/2012747365434885 ; https://zhuanlan.zhihu.com/p/32074190</t>
        </is>
      </c>
      <c r="T3" s="2" t="inlineStr">
        <is>
          <t>Открыть biotruly.com → раздел «联系我们» (контакты) или найти их стенд в китайской зоне; запросить: портфолио ODM, MOQ, сроки, есть ли продукты для губ, экспорт в Россию</t>
        </is>
      </c>
      <c r="U3" s="2" t="inlineStr">
        <is>
          <t>Высокий</t>
        </is>
      </c>
      <c r="V3" s="2" t="inlineStr">
        <is>
          <t>2026-10-14</t>
        </is>
      </c>
      <c r="W3" s="2" t="inlineStr">
        <is>
          <t>photos/014_inpd_wall.jpg</t>
        </is>
      </c>
    </row>
    <row r="4">
      <c r="A4" s="2" t="n">
        <v>3</v>
      </c>
      <c r="B4" s="3" t="inlineStr">
        <is>
          <t>Китай</t>
        </is>
      </c>
      <c r="C4" s="2" t="inlineStr">
        <is>
          <t>Сырьё / ингредиенты</t>
        </is>
      </c>
      <c r="D4" s="2" t="inlineStr">
        <is>
          <t>Шанхай</t>
        </is>
      </c>
      <c r="E4" s="2" t="inlineStr">
        <is>
          <t>CHANDO Group (Shanghai CHANDO Group Co., Ltd., ранее JALA Group)</t>
        </is>
      </c>
      <c r="F4" s="2" t="inlineStr">
        <is>
          <t>Cosmetic 360, стенд GB64 (Innovation Route — Raw Materials), зона C-Beauty Journey</t>
        </is>
      </c>
      <c r="G4" s="4" t="inlineStr">
        <is>
          <t>https://en.chandogroup.com</t>
        </is>
      </c>
      <c r="H4" s="2" t="inlineStr"/>
      <c r="I4" s="2" t="inlineStr">
        <is>
          <t>Крупная китайская косметическая группа (основана в 2001 г. в Шанхае). На выставке — собственные запатентованные ингредиенты: HiMurchaSin® пептид (антивозрастной, разработан с помощью ИИ, из полярных дрожжей), PDRN, Space Ginseng Yeast, экстракт горечавки (Gentiana Veitchiorum), Hicustos®, BIO-Revive, Photo-Shield 509. Свои бренды: CHANDO (自然堂), MAYSU, Biorrier, Spring Summer, imine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Шанхай, Китай</t>
        </is>
      </c>
      <c r="P4" s="2" t="inlineStr">
        <is>
          <t>Фото стенда</t>
        </is>
      </c>
      <c r="Q4" s="2" t="inlineStr"/>
      <c r="R4" s="2" t="inlineStr">
        <is>
          <t>В январе 2024 JALA Group переименована в Shanghai CHANDO Group. Пептид HiMurchaSin найден вместе с институтом Университета Цинхуа: ИИ перебрал 2,8 млн белков дрожжей; используется в 7-м поколении их антивозрастной сыворотки (апрель 2026). 20 научных докладов на конгрессе IFSCC 2026. Данные об эффективности — из пресс-релизов компании. Неясно, продают ли ингредиенты сторонним брендам и делают ли контрактное производство — уточнить.</t>
        </is>
      </c>
      <c r="S4" s="2" t="inlineStr">
        <is>
          <t>https://en.chandogroup.com/news/40 ; https://kyodonewsprwire.jp/release/202610067388 ; https://www.chinadailyhk.com/article/640844</t>
        </is>
      </c>
      <c r="T4" s="2" t="inlineStr">
        <is>
          <t>Уточнить, продают ли свои ингредиенты (HiMurchaSin, PDRN) другим брендам и на каких условиях; есть ли OEM</t>
        </is>
      </c>
      <c r="U4" s="2" t="inlineStr"/>
      <c r="V4" s="2" t="inlineStr">
        <is>
          <t>2026-10-14</t>
        </is>
      </c>
      <c r="W4" s="2" t="inlineStr">
        <is>
          <t>photos/012_chando.jpg</t>
        </is>
      </c>
    </row>
    <row r="5">
      <c r="A5" s="2" t="n">
        <v>4</v>
      </c>
      <c r="B5" s="3" t="inlineStr">
        <is>
          <t>Китай</t>
        </is>
      </c>
      <c r="C5" s="2" t="inlineStr">
        <is>
          <t>Упаковка</t>
        </is>
      </c>
      <c r="D5" s="2" t="inlineStr">
        <is>
          <t>Гонконг (офис); производство — партнёрские фабрики в Китае</t>
        </is>
      </c>
      <c r="E5" s="2" t="inlineStr">
        <is>
          <t>Cypress Sourcing Company Ltd.</t>
        </is>
      </c>
      <c r="F5" s="2" t="inlineStr">
        <is>
          <t>Cosmetic 360, стенд GB60 (Innovation Route — Packaging &amp; Packing)</t>
        </is>
      </c>
      <c r="G5" s="2" t="inlineStr"/>
      <c r="H5" s="2" t="inlineStr"/>
      <c r="I5" s="2" t="inlineStr">
        <is>
          <t>Упаковка для парфюма и косметики: подарочные и жёсткие коробки (в т.ч. с двойным открыванием, деревянные), экологичная фольга, устойчивая упаковка; на стенде также флаконы для парфюма, диффузоры, стеклянные подсвечники, тубы. Работают как поставщик-посредник через партнёрские фабрики. На видео со стенда: компактные флаконы для парфюма (тревел-формат / ролики 10–15 мл) с цветным декоративным стеклом и узором «под янтарь/мрамор» (синий, оранжевый, красный), чёрные колпачки, фигурные флаконы; к ним — подарочные коробки</t>
        </is>
      </c>
      <c r="J5" s="2" t="inlineStr">
        <is>
          <t>Janis</t>
        </is>
      </c>
      <c r="K5" s="2" t="inlineStr"/>
      <c r="L5" s="2" t="inlineStr"/>
      <c r="M5" s="2" t="inlineStr"/>
      <c r="N5" s="2" t="inlineStr">
        <is>
          <t>+86 137 9887 7125 (WeChat)</t>
        </is>
      </c>
      <c r="O5" s="2" t="inlineStr">
        <is>
          <t>Гонконг</t>
        </is>
      </c>
      <c r="P5" s="2" t="inlineStr">
        <is>
          <t>Добавили в WeChat</t>
        </is>
      </c>
      <c r="Q5" s="2" t="inlineStr">
        <is>
          <t>Делают упаковку для парфюма. Могут отправлять в Россию. Минимальная партия — 10 000 шт.</t>
        </is>
      </c>
      <c r="R5" s="2" t="inlineStr">
        <is>
          <t>Основана в 2004 г. в Гонконге, поставщик декоративной/подарочной упаковки через 7 партнёрских фабрик: картонные жёсткие и складные коробки, жестяные коробки, пластиковые пакеты, вакуумная формовка. По таможенным данным США — 63 поставки (бумага/картон, пластик, керамика). То есть это торговая компания, а не сама фабрика — уточнить, какая фабрика будет делать заказ.</t>
        </is>
      </c>
      <c r="S5" s="2" t="inlineStr">
        <is>
          <t>https://directory.designnews.com/cypress-sourcing-company-ltd-comp225768.html ; https://cn.panjiva.com/Cypress-Sourcing-Co-Ltd/67317206</t>
        </is>
      </c>
      <c r="T5" s="2" t="inlineStr">
        <is>
          <t>Написать Janis в WeChat (+86 137 9887 7125): каталог упаковки и флаконов для парфюма, цены на 10 000 шт., сроки и стоимость доставки в Россию, образцы; уточнить фабрику-производителя</t>
        </is>
      </c>
      <c r="U5" s="2" t="inlineStr">
        <is>
          <t>Высокий</t>
        </is>
      </c>
      <c r="V5" s="2" t="inlineStr">
        <is>
          <t>2026-10-14</t>
        </is>
      </c>
      <c r="W5" s="2" t="inlineStr">
        <is>
          <t>photos/013_cypress.jpg ; photos/013b_cypress_video.MOV</t>
        </is>
      </c>
    </row>
    <row r="6">
      <c r="A6" s="2" t="n">
        <v>5</v>
      </c>
      <c r="B6" s="3" t="inlineStr">
        <is>
          <t>Китай</t>
        </is>
      </c>
      <c r="C6" s="2" t="inlineStr">
        <is>
          <t>Упаковка</t>
        </is>
      </c>
      <c r="D6" s="2" t="inlineStr">
        <is>
          <t>Куньшань, пров. Цзянсу (≈50 км от Шанхая)</t>
        </is>
      </c>
      <c r="E6" s="2" t="inlineStr">
        <is>
          <t>KAVA International Limited</t>
        </is>
      </c>
      <c r="F6" s="2" t="inlineStr"/>
      <c r="G6" s="4" t="inlineStr">
        <is>
          <t>www.kava.cn</t>
        </is>
      </c>
      <c r="H6" s="2" t="inlineStr"/>
      <c r="I6" s="2" t="inlineStr">
        <is>
          <t>Упаковка для косметики; печать складных картонных коробок (офсет, с 2024 г. — флексо-линия Edale FL5 + вырубка FDC-600: печать, вырубка, тиснение Брайля, холодная фольга, лак, ламинация за один проход)</t>
        </is>
      </c>
      <c r="J6" s="2" t="inlineStr">
        <is>
          <t>Haoran Wang</t>
        </is>
      </c>
      <c r="K6" s="2" t="inlineStr">
        <is>
          <t>Райан (владелец)</t>
        </is>
      </c>
      <c r="L6" s="2" t="inlineStr">
        <is>
          <t>Chief Executive Officer</t>
        </is>
      </c>
      <c r="M6" s="2" t="inlineStr">
        <is>
          <t>wanghaoran@kava.cn</t>
        </is>
      </c>
      <c r="N6" s="2" t="inlineStr"/>
      <c r="O6" s="2" t="inlineStr">
        <is>
          <t>Производство: No. 16 South Huacheng Road, Lujia, Kunshan, Jiangsu, China. Международный офис: Гонконг</t>
        </is>
      </c>
      <c r="P6" s="2" t="inlineStr">
        <is>
          <t>«Эстелаудер», «упаковка для косметики»</t>
        </is>
      </c>
      <c r="Q6" s="2" t="inlineStr">
        <is>
          <t>Упаковка для косметики — то, что нам нужно</t>
        </is>
      </c>
      <c r="R6" s="2" t="inlineStr">
        <is>
          <t>Июль 2024: KAVA — первый в Китае заказчик британских флексо-машин Edale (FL5 + FDC-600), до этого печатали складные коробки только офсетом. В прессе CEO назван «Jiangua Wang» — уточнить. Сайт kava.cn на момент проверки не открылся.</t>
        </is>
      </c>
      <c r="S6" s="2" t="inlineStr">
        <is>
          <t>https://www.thepackagingportal.com/?p=29277 ; https://industriagraficaonline.com/articulo/37705/</t>
        </is>
      </c>
      <c r="T6" s="2" t="inlineStr">
        <is>
          <t>Запросить каталог/образцы косметической упаковки, MOQ, цены; уточнить работу с Estée Lauder</t>
        </is>
      </c>
      <c r="U6" s="2" t="inlineStr">
        <is>
          <t>Высокий</t>
        </is>
      </c>
      <c r="V6" s="2" t="inlineStr">
        <is>
          <t>2026-10-14</t>
        </is>
      </c>
      <c r="W6" s="2" t="inlineStr">
        <is>
          <t>photos/001_kava.jpg</t>
        </is>
      </c>
    </row>
    <row r="7">
      <c r="A7" s="2" t="n">
        <v>6</v>
      </c>
      <c r="B7" s="3" t="inlineStr">
        <is>
          <t>Китай</t>
        </is>
      </c>
      <c r="C7" s="2" t="inlineStr">
        <is>
          <t>Контрактное производство</t>
        </is>
      </c>
      <c r="D7" s="2" t="inlineStr">
        <is>
          <t>Хучжоу, пров. Чжэцзян (фабрика); офис — Линьань (Ханчжоу), Чжэцзян</t>
        </is>
      </c>
      <c r="E7" s="2" t="inlineStr">
        <is>
          <t>Lamer Beauty (Huzhou) Co., Ltd / Zhejiang Bohan International Co., Ltd</t>
        </is>
      </c>
      <c r="F7" s="2" t="inlineStr">
        <is>
          <t>Cosmetic 360, «Beauty Ville» (китайская зона)</t>
        </is>
      </c>
      <c r="G7" s="4" t="inlineStr">
        <is>
          <t>www.lamerbeauty.uk ; www.rsgroup.cn</t>
        </is>
      </c>
      <c r="H7" s="2" t="inlineStr"/>
      <c r="I7" s="2" t="inlineStr">
        <is>
          <t>Вероятно ODM/контрактное производство косметики (по данным о группе Lamer: парфюмерия, уход, декоративная косметика). Уточнить ассортимент</t>
        </is>
      </c>
      <c r="J7" s="2" t="inlineStr">
        <is>
          <t>Freda Tang</t>
        </is>
      </c>
      <c r="K7" s="2" t="inlineStr"/>
      <c r="L7" s="2" t="inlineStr">
        <is>
          <t>CEO</t>
        </is>
      </c>
      <c r="M7" s="2" t="inlineStr">
        <is>
          <t>hzrs@rsgroup.cn ; hzrs@hzlamer.com (размыто — проверить)</t>
        </is>
      </c>
      <c r="N7" s="2" t="inlineStr">
        <is>
          <t>Mob/WhatsApp: +86 153 0571 6666 ; +86 138 5801 7730 (размыто — проверить)</t>
        </is>
      </c>
      <c r="O7" s="2" t="inlineStr">
        <is>
          <t>Офис: RM2805, Yuanxin Starry Center, Dayuan Road, Qingshanhu Sub-district, Lin'an District, Zhejiang 311300. Фабрика: No.20 Yangshanwu Road, Daixi Town, Wuxing District, Huzhou, Zhejiang 313000 (адреса размыты — проверить)</t>
        </is>
      </c>
      <c r="P7" s="2" t="inlineStr">
        <is>
          <t>Визитка</t>
        </is>
      </c>
      <c r="Q7" s="2" t="inlineStr">
        <is>
          <t>Зашли на стенд, взяли контакты. Продукты для губ — со слов компании «легко сделать». Интересует также разработка парфюмов</t>
        </is>
      </c>
      <c r="R7" s="2" t="inlineStr">
        <is>
          <t>Сайт lamerbeauty.uk указывает на группу Lamer (Великобритания): её дочерняя компания Hangzhou Lamer Cosmetics делает ODM — парфюмерию, уход, косметику; выставлялась на InterCHARM 2019 (Москва). Линьань — район Ханчжоу, так что это, скорее всего, та же группа. Про Lamer Beauty (Huzhou) и Zhejiang Bohan отдельной информации не найдено.</t>
        </is>
      </c>
      <c r="S7" s="2" t="inlineStr">
        <is>
          <t>https://prnewswire.co.uk/news-releases/chinese-cosmetics-giant-hangzhou-lamer-cosmetics-debuts-at-intercharm-2019-872021252.html</t>
        </is>
      </c>
      <c r="T7" s="2" t="inlineStr">
        <is>
          <t>Написать в WhatsApp Freda Tang: каталог; парфюм — свой ли завод и парфюмеры, сертификаты IFRA; губы — образцы, MOQ, сроки; документы для ЕС (GMP ISO 22716, CPSR/PIF); условия ODM под наш бренд</t>
        </is>
      </c>
      <c r="U7" s="2" t="inlineStr"/>
      <c r="V7" s="2" t="inlineStr">
        <is>
          <t>2026-10-14</t>
        </is>
      </c>
      <c r="W7" s="2" t="inlineStr">
        <is>
          <t>photos/006_lamer_beauty.jpg</t>
        </is>
      </c>
    </row>
    <row r="8">
      <c r="A8" s="2" t="n">
        <v>7</v>
      </c>
      <c r="B8" s="3" t="inlineStr">
        <is>
          <t>Франция</t>
        </is>
      </c>
      <c r="C8" s="2" t="inlineStr">
        <is>
          <t>Контрактное производство</t>
        </is>
      </c>
      <c r="D8" s="2" t="inlineStr">
        <is>
          <t>Франция (головной офис); заводы во Франции, Испании, Калифорнии (США) и Канаде</t>
        </is>
      </c>
      <c r="E8" s="2" t="inlineStr">
        <is>
          <t>ANJAC Health &amp; Beauty (группа) — Aircos Pascual (макияж: пудры, стики, литьевые продукты); на стенде также SICAF</t>
        </is>
      </c>
      <c r="F8" s="2" t="inlineStr">
        <is>
          <t>Cosmetic 360 (секция Formulation)</t>
        </is>
      </c>
      <c r="G8" s="4" t="inlineStr">
        <is>
          <t>https://www.aircospascual-anjac.com</t>
        </is>
      </c>
      <c r="H8" s="2" t="inlineStr"/>
      <c r="I8" s="2" t="inlineStr">
        <is>
          <t>Крупная семейная французская промышленная группа: разработка и производство под ключ для брендов красоты и здоровья, от сырья до готового продукта. Подразделения: SICAF — уход и премиальные текстуры; Shadeline — дермокосметика; Aircos — пудровая косметика (лидер во Франции); Pascual Cosmétiques — литьевые и жидкие продукты, СТИКИ (помады/бальзамы для губ); Roval Cosmétiques — 2 завода во Франции + Испания; Cosmetix West (Лос-Анджелес); APR Beauty (Торонто). На стенде акцент: «K-Beauty &amp; K-Derma экспертиза для ваших продуктов» (уход в корейском стиле, патчи от прыщей и т.п.)</t>
        </is>
      </c>
      <c r="J8" s="2" t="inlineStr">
        <is>
          <t>Cindy MARAIS</t>
        </is>
      </c>
      <c r="K8" s="2" t="inlineStr"/>
      <c r="L8" s="2" t="inlineStr">
        <is>
          <t>Key Account Manager, Aircos Pascual (ANJAC)</t>
        </is>
      </c>
      <c r="M8" s="2" t="inlineStr">
        <is>
          <t>cmarais@aircospascual.com</t>
        </is>
      </c>
      <c r="N8" s="2" t="inlineStr">
        <is>
          <t>+33 6 07 63 89 17</t>
        </is>
      </c>
      <c r="O8" s="2" t="inlineStr">
        <is>
          <t>Aircos Pascual: 151 Boulevard Victor Hugo, 92110 Clichy, Франция</t>
        </is>
      </c>
      <c r="P8" s="2" t="inlineStr">
        <is>
          <t>Визитка Cindy Marais (Aircos Pascual — ANJAC)</t>
        </is>
      </c>
      <c r="Q8" s="2" t="inlineStr">
        <is>
          <t>Изучали стенд (уход в стиле K-beauty/K-derma). На видео — коробка с образцами (белая туба/стик и др.) на стенде Aircos Pascual</t>
        </is>
      </c>
      <c r="R8" s="2" t="inlineStr">
        <is>
          <t>Около 16–22 площадок R&amp;D и производства (цифры разнятся по источникам) во Франции, Испании, Калифорнии и Канаде. У SICAF новое здание R&amp;D 1 100 м², команда ~20 человек, 3 лаборатории разработки. Охватывают почти все категории: уход, макияж (пудры, стики, литьевые продукты), дермокосметика — то есть потенциально и продукты для губ.</t>
        </is>
      </c>
      <c r="S8" s="2" t="inlineStr">
        <is>
          <t>https://pharmaboardroom.com/interviews/interview-aurelien-chaufour-managing-director-anjac-france/ ; https://www.premiumbeautynews.com/fr/sicaf-se-dote-d-un-nouveau,18374 ; https://www.premiumbeautynews.com/en/anjac-h-b-group-keeps-growing-with,16583 ; https://www.gcimagazine.com/brands-products/contract-manufacturing-services/news/22914175/anjac-health-beautys-investment-in-apr-beauty-boosts-beauty-turnkey-capabilities ; https://cosmetic-valley.com/en/directory_organization/4114</t>
        </is>
      </c>
      <c r="T8" s="2" t="inlineStr">
        <is>
          <t>Написать Cindy Marais (cmarais@aircospascual.com): продукты для губ (стики, помады, бальзамы), пудры/макияж, MOQ, сроки, цены; уход K-beauty — через SICAF</t>
        </is>
      </c>
      <c r="U8" s="2" t="inlineStr">
        <is>
          <t>Высокий</t>
        </is>
      </c>
      <c r="V8" s="2" t="inlineStr">
        <is>
          <t>2026-10-14</t>
        </is>
      </c>
      <c r="W8" s="2" t="inlineStr">
        <is>
          <t>photos/016_anjac.jpg ; photos/016b_anjac_aircos_pascual_card.jpg ; photos/016c_anjac_video.MOV</t>
        </is>
      </c>
    </row>
    <row r="9">
      <c r="A9" s="2" t="n">
        <v>8</v>
      </c>
      <c r="B9" s="3" t="inlineStr">
        <is>
          <t>Франция</t>
        </is>
      </c>
      <c r="C9" s="2" t="inlineStr">
        <is>
          <t>Упаковка</t>
        </is>
      </c>
      <c r="D9" s="2" t="inlineStr">
        <is>
          <t>Под Парижем (рядом с аэропортом Руасси — Шарль-де-Голль); есть также производство в Азии</t>
        </is>
      </c>
      <c r="E9" s="2" t="inlineStr">
        <is>
          <t>Desjardin Metal Packaging</t>
        </is>
      </c>
      <c r="F9" s="2" t="inlineStr">
        <is>
          <t>Cosmetic 360</t>
        </is>
      </c>
      <c r="G9" s="4" t="inlineStr">
        <is>
          <t>https://www.desjardin.fr</t>
        </is>
      </c>
      <c r="H9" s="4" t="inlineStr">
        <is>
          <t>https://www.desjardin.fr/en/categories/cosmetic-packaging</t>
        </is>
      </c>
      <c r="I9" s="2" t="inlineStr">
        <is>
          <t>Металлическая упаковка (жесть и алюминий) под заказ: круглые баночки с винтовой или надвижной крышкой, прямоугольные и овальные формы, крышки (в т.ч. для стеклянных банок), подарочные коробки, тревел-баночки, вакуумные жестяные контейнеры для сырья. Стандарт или индивидуальная печать/отделка. Подходит для бальзамов, кремов, твёрдых продуктов, бальзамов для губ, подарочных наборов</t>
        </is>
      </c>
      <c r="J9" s="2" t="inlineStr"/>
      <c r="K9" s="2" t="inlineStr"/>
      <c r="L9" s="2" t="inlineStr"/>
      <c r="M9" s="2" t="inlineStr">
        <is>
          <t>contact@desjardin.fr</t>
        </is>
      </c>
      <c r="N9" s="2" t="inlineStr"/>
      <c r="O9" s="2" t="inlineStr">
        <is>
          <t>Франция, рядом с аэропортом Paris Roissy-Charles-de-Gaulle</t>
        </is>
      </c>
      <c r="P9" s="2" t="inlineStr">
        <is>
          <t>Фото стенда</t>
        </is>
      </c>
      <c r="Q9" s="2" t="inlineStr"/>
      <c r="R9" s="2" t="inlineStr">
        <is>
          <t>Работают с 1848 г. Делают металлическую упаковку для фармы, косметики, еды и напитков. Партии от 5 000 шт. до нескольких миллионов. На стенде — упаковка для известных брендов: L'Occitane, Roger &amp; Gallet, Biolane, Babor, La Biosthétique, Pommade Nova и др.</t>
        </is>
      </c>
      <c r="S9" s="2" t="inlineStr">
        <is>
          <t>https://www.desjardin.fr/about-us?hsLang=en ; https://www.desjardin.fr/en/categories/cosmetic-packaging ; https://www.desjardin.fr/en/our-history</t>
        </is>
      </c>
      <c r="T9" s="2" t="inlineStr">
        <is>
          <t>Если нужны металлические баночки (бальзамы, твёрдые средства, подарочные наборы): написать на contact@desjardin.fr, запросить каталог и цены от 5 000 шт.</t>
        </is>
      </c>
      <c r="U9" s="2" t="inlineStr"/>
      <c r="V9" s="2" t="inlineStr">
        <is>
          <t>2026-10-14</t>
        </is>
      </c>
      <c r="W9" s="2" t="inlineStr">
        <is>
          <t>photos/011_desjardin.jpg</t>
        </is>
      </c>
    </row>
    <row r="10">
      <c r="A10" s="2" t="n">
        <v>9</v>
      </c>
      <c r="B10" s="3" t="inlineStr">
        <is>
          <t>Франция</t>
        </is>
      </c>
      <c r="C10" s="2" t="inlineStr">
        <is>
          <t>Разработка формул (R&amp;D)</t>
        </is>
      </c>
      <c r="D10" s="2" t="inlineStr">
        <is>
          <t>Авиньон</t>
        </is>
      </c>
      <c r="E10" s="2" t="inlineStr">
        <is>
          <t>Effervescence Lab</t>
        </is>
      </c>
      <c r="F10" s="2" t="inlineStr">
        <is>
          <t>Cosmetic 360, стенд FB12 (Innovation Route — Formulation)</t>
        </is>
      </c>
      <c r="G10" s="4" t="inlineStr">
        <is>
          <t>www.effervescence-lab.com</t>
        </is>
      </c>
      <c r="H10" s="2" t="inlineStr"/>
      <c r="I10" s="2" t="inlineStr">
        <is>
          <t>Независимая R&amp;D-лаборатория: разработка формул косметики «под ключ» — создание формулы, тесты, регуляторное досье. Формулы на заказ (sur mesure) и эксклюзивные. Категории: уход за кожей, солнцезащита, уход за волосами, пенящиеся средства, тональные (teint), стики, бальзамы, стерильные формулы. Конвенциональная и органическая (bio) косметика. Акцент на сенсорику и инновационные текстуры</t>
        </is>
      </c>
      <c r="J10" s="2" t="inlineStr"/>
      <c r="K10" s="2" t="inlineStr"/>
      <c r="L10" s="2" t="inlineStr"/>
      <c r="M10" s="2" t="inlineStr">
        <is>
          <t>contact@effervescence-lab.com</t>
        </is>
      </c>
      <c r="N10" s="2" t="inlineStr">
        <is>
          <t>+33 4 86 40 84 88</t>
        </is>
      </c>
      <c r="O10" s="2" t="inlineStr">
        <is>
          <t>Le Newton, 65 Rue Lawrence Durrell, BP 51 552, 84916 Avignon Cedex 09, Франция</t>
        </is>
      </c>
      <c r="P10" s="2" t="inlineStr">
        <is>
          <t>Буклет со стенда (контакты на обороте)</t>
        </is>
      </c>
      <c r="Q10" s="2" t="inlineStr">
        <is>
          <t>Ни с кем не познакомились — только фото стенда</t>
        </is>
      </c>
      <c r="R10" s="2" t="inlineStr">
        <is>
          <t>Основатель и директор — Muriel Hibon (физикохимия формулирования, 20+ лет в R&amp;D косметики). Коллекции готовых основ: Sublime, Hybride, Essentia (2025). Собственное производство в открытых источниках не подтверждено — уточнить, делают ли выпуск партий или только разработку.</t>
        </is>
      </c>
      <c r="S10" s="2" t="inlineStr">
        <is>
          <t>https://www.industries-cosmetiques.fr/en/effervescence-lab-formulation-et-sensorialite ; https://www.luxepackmonaco.com/en/speakers/67bdab0816a05b57ffb96610 ; https://www.cosmed.fr/app/uploads/2026/03/technicienne-de-formulation.pdf</t>
        </is>
      </c>
      <c r="T10" s="2" t="inlineStr">
        <is>
          <t>Написать на contact@effervescence-lab.com: условия разработки формулы, сроки, есть ли собственное производство/выпуск партий</t>
        </is>
      </c>
      <c r="U10" s="2" t="inlineStr"/>
      <c r="V10" s="2" t="inlineStr">
        <is>
          <t>2026-10-14</t>
        </is>
      </c>
      <c r="W10" s="2" t="inlineStr">
        <is>
          <t>photos/002_effervescence_lab.jpg ; photos/002b_effervescence_lab_brochure.jpg</t>
        </is>
      </c>
    </row>
    <row r="11">
      <c r="A11" s="2" t="n">
        <v>10</v>
      </c>
      <c r="B11" s="3" t="inlineStr">
        <is>
          <t>Франция</t>
        </is>
      </c>
      <c r="C11" s="2" t="inlineStr">
        <is>
          <t>Сырьё / ингредиенты</t>
        </is>
      </c>
      <c r="D11" s="2" t="inlineStr">
        <is>
          <t>Лион (головной офис); лаборатория и склад — Сен-Вюльба (Эн)</t>
        </is>
      </c>
      <c r="E11" s="2" t="inlineStr">
        <is>
          <t>Formulance Group (Groupe Formulance)</t>
        </is>
      </c>
      <c r="F11" s="2" t="inlineStr">
        <is>
          <t>Cosmetic 360, стенд GB51 (Innovation Route — Raw Materials)</t>
        </is>
      </c>
      <c r="G11" s="2" t="inlineStr"/>
      <c r="H11" s="2" t="inlineStr"/>
      <c r="I11" s="2" t="inlineStr">
        <is>
          <t>Дистрибьютор косметического сырья. Направления со стенда: устойчивые альтернативы (био-пигменты чёрного цвета, натуральные замены синтетике, веганская замена ланолину, замена баттерам, 100% растительный воск); натуральные ингредиенты (эфирные и растительные масла, гидролаты, CO2-экстракты, растительные экстракты, натуральные активы); микрокапсулирование (активов и отдушек, под ключ); сырьё для ароматов и вкусов (fragrance &amp; flavour); защитные углеводороды (вазелин, парафины, белое масло); полимеры (замутнители, кондиционеры, загустители). На стенде — образцы ароматического сырья: ветивер, сандал Muhuhu, африканский бессмертник, белая вербена, Resurrection Bush; замены силикона (SILIKE)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13 rue des Émeraudes, Лион, Франция (индекс 69006 или 69000 — уточнить)</t>
        </is>
      </c>
      <c r="P11" s="2" t="inlineStr">
        <is>
          <t>Фото стенда; QR-код на их LinkedIn; буклет «Jungle Forever» (сохранение тропических лесов)</t>
        </is>
      </c>
      <c r="Q11" s="2" t="inlineStr"/>
      <c r="R11" s="2" t="inlineStr">
        <is>
          <t>Основана в 2013 г. 4 направления: промышленность, здравоохранение, ингредиенты, парфюмерия (Fragrance). Есть натуральные замены силиконам, активы, пигменты, эфирные масла, цветочные воды, растительные масла. EcoVadis Silver, ISO 9001:2015. Полезны как поставщик сырья для парфюма (натуральные ароматические компоненты).</t>
        </is>
      </c>
      <c r="S11" s="2" t="inlineStr">
        <is>
          <t>https://www.cosmetic-valley.com/en/annuaire-entreprises/groupe-formulance ; https://cdn-assets.inwink.com/29c113f5-ef83-40fc-9c73-90e2bb328e9c/9673b4e4-74d3-47f5-b854-5daec598b6a6</t>
        </is>
      </c>
      <c r="T11" s="2" t="inlineStr">
        <is>
          <t>Найти контакт (сайт / LinkedIn); запросить каталог, особенно парфюмерное сырьё и натуральные замены — если пойдём в разработку парфюма</t>
        </is>
      </c>
      <c r="U11" s="2" t="inlineStr"/>
      <c r="V11" s="2" t="inlineStr">
        <is>
          <t>2026-10-14</t>
        </is>
      </c>
      <c r="W11" s="2" t="inlineStr">
        <is>
          <t>photos/010_formulance.jpg</t>
        </is>
      </c>
    </row>
    <row r="12">
      <c r="A12" s="2" t="n">
        <v>11</v>
      </c>
      <c r="B12" s="3" t="inlineStr">
        <is>
          <t>Франция</t>
        </is>
      </c>
      <c r="C12" s="2" t="inlineStr">
        <is>
          <t>Контрактное производство</t>
        </is>
      </c>
      <c r="D12" s="2" t="inlineStr">
        <is>
          <t>Марсель</t>
        </is>
      </c>
      <c r="E12" s="2" t="inlineStr">
        <is>
          <t>Laboratoires Biotic Phocea</t>
        </is>
      </c>
      <c r="F12" s="2" t="inlineStr">
        <is>
          <t>Cosmetic 360, стенд GC58 (Innovation Route — Formulation)</t>
        </is>
      </c>
      <c r="G12" s="2" t="inlineStr">
        <is>
          <t>biotic.fr</t>
        </is>
      </c>
      <c r="H12" s="2" t="inlineStr"/>
      <c r="I12" s="2" t="inlineStr">
        <is>
          <t>Private label под ключ (full service), Made in France: готовые или индивидуальные формулы; R&amp;D, упаковка, регуляторика, тесты. Производство от 400 шт. Натуральная и органическая (bio) косметика. На стенде: сыворотки (Dark Spot Serum — от пигментных пятен), масла/эликсиры во флаконах-капельницах, бальзамы, кремы; есть линейка для салонов красоты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16-18 Boulevard Michelet, 13008 Marseille, Франция (по открытым источникам; в справочнике Cosmebio — Immeuble Le Performance, 13008 Marseille)</t>
        </is>
      </c>
      <c r="P12" s="2" t="inlineStr">
        <is>
          <t>Фото стенда; на стенде QR-код на форму обратной связи</t>
        </is>
      </c>
      <c r="Q12" s="2" t="inlineStr"/>
      <c r="R12" s="2" t="inlineStr">
        <is>
          <t>Более 10 лет специализируются на производстве натуральной и органической косметики под чужой маркой для малых и средних компаний и брендов. Есть готовая линейка «под ваш бренд» и разработка по ТЗ. Член ассоциации Cosmebio (органическая косметика). Развивают экспорт и R&amp;D.</t>
        </is>
      </c>
      <c r="S12" s="2" t="inlineStr">
        <is>
          <t>https://www.cosmebio.org/en/professional-information/cosmebio-members-directory/952/ ; https://www.lejournaldesentreprises.com/article/marseille-le-laboratoire-biotic-phocea-lance-une-gamme-de-cosmetiques-personnalisable-pour-les-103794 ; https://www.cosmed.fr/societes/biotic-phocea-laboratoires ; https://www.lejournaldesentreprises.com/article/coronavirus-les-laboratoires-biotic-phocea-misent-sur-lexport-et-la-rd-488787</t>
        </is>
      </c>
      <c r="T12" s="2" t="inlineStr">
        <is>
          <t>Запросить каталог готовых формул и цены от 400 шт.; уточнить, делают ли продукты для губ и парфюм</t>
        </is>
      </c>
      <c r="U12" s="2" t="inlineStr"/>
      <c r="V12" s="2" t="inlineStr">
        <is>
          <t>2026-10-14</t>
        </is>
      </c>
      <c r="W12" s="2" t="inlineStr">
        <is>
          <t>photos/009_biotic_phocea.jpg</t>
        </is>
      </c>
    </row>
    <row r="13">
      <c r="A13" s="2" t="n">
        <v>12</v>
      </c>
      <c r="B13" s="3" t="inlineStr">
        <is>
          <t>Франция</t>
        </is>
      </c>
      <c r="C13" s="2" t="inlineStr">
        <is>
          <t>Контрактное производство</t>
        </is>
      </c>
      <c r="D13" s="2" t="inlineStr">
        <is>
          <t>Мейссак (Коррез), Новая Аквитания; второй сайт — Юссак</t>
        </is>
      </c>
      <c r="E13" s="2" t="inlineStr">
        <is>
          <t>SIMAH (группа SOTHYS)</t>
        </is>
      </c>
      <c r="F13" s="2" t="inlineStr">
        <is>
          <t>Cosmetic 360</t>
        </is>
      </c>
      <c r="G13" s="4" t="inlineStr">
        <is>
          <t>https://simah-cosmetiques.fr</t>
        </is>
      </c>
      <c r="H13" s="2" t="inlineStr"/>
      <c r="I13" s="2" t="inlineStr">
        <is>
          <t>Контрактное производство (CDMO / façonnier) высокоэффективной косметики, Made in France: адаптация и доработка готовых формул, создание формул на заказ, промышленное производство формул клиента. Кремы и уход (по буклету — розлив кремов в банки, реакторы-смесители)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Usine Le Gôt, 890 route de Chauffour, 19500 Meyssac, Франция</t>
        </is>
      </c>
      <c r="P13" s="2" t="inlineStr">
        <is>
          <t>Буклет «SIMAH 1971 — Cosmetic Manufacturer», на столе — анкета-запрос для клиентов</t>
        </is>
      </c>
      <c r="Q13" s="2" t="inlineStr"/>
      <c r="R13" s="2" t="inlineStr">
        <is>
          <t>Основан в 1971 г. семьёй Мас; производственное подразделение группы SOTHYS (профессиональная салонная косметика), которое открыло завод для сторонних брендов. ~140 сотрудников, оборот ~20 млн € (2024). Сертификаты ISO 22716 (GMP) и COSMOS (органика). Юрлицо SAS, SIREN 451 195 325.</t>
        </is>
      </c>
      <c r="S13" s="2" t="inlineStr">
        <is>
          <t>https://www.cosmetic-valley.com/en/annuaire-entreprises/simah ; https://www.lejournaldesentreprises.com/article/sothys-souvre-la-production-facon-2111197 ; https://www.leaderreunion.fr/en/projets-de-cosmetiques-simah-change-la-donne/ ; https://presseagence.fr/paris-simah-ouvre-son-savoir-faire-a-lexterne-une-opportunite-unique-pour-les-marques-du-secteur-cosmetique/ ; https://www.xerfi.com/etudes-par-entreprise/simah_451195325</t>
        </is>
      </c>
      <c r="T13" s="2" t="inlineStr">
        <is>
          <t>Заполнить их анкету-запрос на стенде или через сайт; уточнить MOQ, сроки, делают ли продукты для губ и парфюм</t>
        </is>
      </c>
      <c r="U13" s="2" t="inlineStr"/>
      <c r="V13" s="2" t="inlineStr">
        <is>
          <t>2026-10-14</t>
        </is>
      </c>
      <c r="W13" s="2" t="inlineStr">
        <is>
          <t>photos/015_simah.jpg</t>
        </is>
      </c>
    </row>
    <row r="14">
      <c r="A14" s="2" t="n">
        <v>13</v>
      </c>
      <c r="B14" s="3" t="inlineStr">
        <is>
          <t>Франция</t>
        </is>
      </c>
      <c r="C14" s="2" t="inlineStr">
        <is>
          <t>Контрактное производство</t>
        </is>
      </c>
      <c r="D14" s="2" t="inlineStr">
        <is>
          <t>Шартр (головной офис); производство — О-де-Франс (Невиль-ан-Феррен, под Лиллем), Нормандия; 1 завод в Польше</t>
        </is>
      </c>
      <c r="E14" s="2" t="inlineStr">
        <is>
          <t>Vabel Groupe</t>
        </is>
      </c>
      <c r="F14" s="2" t="inlineStr">
        <is>
          <t>Cosmetic 360, стенд FA31 (Innovation Route — Formulation)</t>
        </is>
      </c>
      <c r="G14" s="2" t="inlineStr">
        <is>
          <t>vabel.fr (не проверен)</t>
        </is>
      </c>
      <c r="H14" s="2" t="inlineStr"/>
      <c r="I14" s="2" t="inlineStr">
        <is>
          <t>Полный цикл «промышленник → производитель → дистрибьютор»: разработка и производство под ключ для чужих брендов (CDMO / контрактное производство, в т.ч. private label для сетей) + свои марки. Категории: уход и косметика, парфюмерия, гигиена/салфетки, декоративная косметика (макияж). Собственная R&amp;D-лаборатория, выдув флаконов PE/PET, логистическая платформа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Шартр, Франция</t>
        </is>
      </c>
      <c r="P14" s="2" t="inlineStr">
        <is>
          <t>Флаер со стенда: «Créateur de beauté, partenaire de confiance», значки сертификатов (ISO, GMP и др.)</t>
        </is>
      </c>
      <c r="Q14" s="2" t="inlineStr">
        <is>
          <t>Ни с кем не познакомились — фото стенда и флаера</t>
        </is>
      </c>
      <c r="R14" s="2" t="inlineStr">
        <is>
          <t>Крупная группа: 2000+ сотрудников, ~7 производственных площадок (6 во Франции + 1 в Польше), ~300 000 м², продажи в 80 странах. Ок. 20 собственных марок: Corine de Farme, Cottage, Inessance Paris, Jacomo, Mitosyl и др. В 2023 купили Sarbec Cosmetics (700 сотрудников). Парфюмерные экстракты формулируют в Грасе. Гендиректор — Arnaud Linquette. Внимание: в сети были фейковые вакансии от имени «Vabel cosmétique» — проверять контакты по официальному сайту.</t>
        </is>
      </c>
      <c r="S14" s="2" t="inlineStr">
        <is>
          <t>https://www.premiumbeautynews.com/vabel-further-expands-its-vertical,27593 ; https://www.lejournaldesentreprises.com/breve/sarbec-cosmetics-passe-aux-mains-du-groupe-vabel-2069305 ; https://www.lsa-conso.fr/noel-de-corine-de-farme-a-cottage-le-groupe-vabel-cultive-l-art-des-parfums-a-la-francaise,462947 ; https://www.parispackagingweek.com/en/exhibitor/vabel-groupe-2/</t>
        </is>
      </c>
      <c r="T14" s="2" t="inlineStr">
        <is>
          <t>Узнать условия контрактного производства (MOQ, сроки, декоративная косметика), найти контакт отдела CDMO</t>
        </is>
      </c>
      <c r="U14" s="2" t="inlineStr"/>
      <c r="V14" s="2" t="inlineStr">
        <is>
          <t>2026-10-14</t>
        </is>
      </c>
      <c r="W14" s="2" t="inlineStr">
        <is>
          <t>photos/004_vabel.jpg</t>
        </is>
      </c>
    </row>
    <row r="15">
      <c r="A15" s="2" t="n">
        <v>14</v>
      </c>
      <c r="B15" s="3" t="inlineStr">
        <is>
          <t>Южная Корея</t>
        </is>
      </c>
      <c r="C15" s="2" t="inlineStr">
        <is>
          <t>Контрактное производство</t>
        </is>
      </c>
      <c r="D15" s="2" t="inlineStr">
        <is>
          <t>Сеул (район Куро-гу)</t>
        </is>
      </c>
      <c r="E15" s="2" t="inlineStr">
        <is>
          <t>COSPLAN Inc. (бренд DERMATHOD)</t>
        </is>
      </c>
      <c r="F15" s="2" t="inlineStr">
        <is>
          <t>Cosmetic 360, стенд LA31 (Innovation Route — Brands &amp; Retail), корейский павильон</t>
        </is>
      </c>
      <c r="G15" s="2" t="inlineStr"/>
      <c r="H15" s="4" t="inlineStr">
        <is>
          <t>https://welcon.kocca.kr/en/directory/company/cosplan-inc--5601</t>
        </is>
      </c>
      <c r="I15" s="2" t="inlineStr">
        <is>
          <t>Уход за кожей (skincare), профессиональная косметика. OEM/ODM для других марок: разработка формулы, дизайн и производство под ключ, коллаборации с брендами. Специализация — функциональные упаковки и бьюти-девайсы: запатентованная ампула с микроиглами (airless, одноразовая, для домашнего ухода). Продукты на стенде: Derma Level, Derma EZ Jet, Clearance C4, O2 Tox Peel, Derma Saver Sun Protection, активатор для кожи головы. Парфюма нет; продуктов для губ в источниках не найдено</t>
        </is>
      </c>
      <c r="J15" s="2" t="inlineStr"/>
      <c r="K15" s="2" t="inlineStr"/>
      <c r="L15" s="2" t="inlineStr">
        <is>
          <t>На стенде — коммерческий директор (Directeur Commercial, имя на бейдже не читается)</t>
        </is>
      </c>
      <c r="M15" s="2" t="inlineStr"/>
      <c r="N15" s="2" t="inlineStr"/>
      <c r="O15" s="2" t="inlineStr">
        <is>
          <t>Сеул, Куро-гу, Южная Корея</t>
        </is>
      </c>
      <c r="P15" s="2" t="inlineStr">
        <is>
          <t>Фото стенда</t>
        </is>
      </c>
      <c r="Q15" s="2" t="inlineStr">
        <is>
          <t>Производят для других марок; парфюма точно нет, губ, вероятно, тоже нет — в основном skincare</t>
        </is>
      </c>
      <c r="R15" s="2" t="inlineStr">
        <is>
          <t>Основана в 2019 г. Все процессы от R&amp;D до дизайна — в головном офисе в Сеуле. Флагман — Dermaijet Multi Effector Ampoule: airless-ампула с микроиглами, длина регулируется в два этапа. Бренд DERMATHOD — профессиональный уход для покупателей и косметологов (пилинги, пилинг-пэды, средства для кожного барьера). В 2026 г. участвовали в Pitti Fragranze (Флоренция) в зоне Code Korea при KOCCA — со skincare, не с парфюмом. Цены, MOQ и клиенты OEM в открытых источниках не найдены.</t>
        </is>
      </c>
      <c r="S15" s="2" t="inlineStr">
        <is>
          <t>https://welcon.kocca.kr/en/directory/company/cosplan-inc--5601 ; https://welcon.kocca.kr/en/directory/content/dermathod--10859 ; https://fragranze.pittimmagine.com/en/exhibitors/D/dermathod---code-korea ; https://bykinaesthetics.com/pages/dermathod</t>
        </is>
      </c>
      <c r="T15" s="2" t="inlineStr">
        <is>
          <t>Взять контакт коммерческого директора; запросить условия OEM для skincare и ампул с микроиглами (MOQ, сроки, цены)</t>
        </is>
      </c>
      <c r="U15" s="2" t="inlineStr"/>
      <c r="V15" s="2" t="inlineStr">
        <is>
          <t>2026-10-14</t>
        </is>
      </c>
      <c r="W15" s="2" t="inlineStr">
        <is>
          <t>photos/007_cosplan.jpg</t>
        </is>
      </c>
    </row>
    <row r="16">
      <c r="A16" s="2" t="n">
        <v>15</v>
      </c>
      <c r="B16" s="3" t="inlineStr">
        <is>
          <t>Южная Корея</t>
        </is>
      </c>
      <c r="C16" s="2" t="inlineStr">
        <is>
          <t>Контрактное производство</t>
        </is>
      </c>
      <c r="D16" s="2" t="inlineStr"/>
      <c r="E16" s="2" t="inlineStr">
        <is>
          <t>THREEDAYSLOVE Co., Ltd. (бренд EXOMERE / TIME72)</t>
        </is>
      </c>
      <c r="F16" s="2" t="inlineStr">
        <is>
          <t>Cosmetic 360, стенд LB38 (Innovation Route — Brands &amp; Retail), корейский павильон</t>
        </is>
      </c>
      <c r="G16" s="2" t="inlineStr"/>
      <c r="H16" s="2" t="inlineStr"/>
      <c r="I16" s="2" t="inlineStr">
        <is>
          <t>OEM/ODM (указано на стенде) + свой бренд EXOMERE. Технология «спикулы + экзосомы» (запатентована, патент KR 10-2023-0121591; экзосомы из мандарина Халла, о. Чеджу). На стенде: регенерирующие ампулы (EGF, PDRN), восстанавливающий бальзам, кушон со спикулами и экзосомами (тональное средство), сыворотки, кремы, наборы ампул. ISO 9001. «25 лет экспертизы»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Фото стенда</t>
        </is>
      </c>
      <c r="Q16" s="2" t="inlineStr">
        <is>
          <t>Производят для других марок косметику для кожи (skincare)</t>
        </is>
      </c>
      <c r="R16" s="2" t="inlineStr">
        <is>
          <t>Компании принадлежат товарные знаки TIME72 и «TIME 72 EXOMERE» (поданы в 2024 г., США): косметика, эксфолианты, антивозрастные средства, питательные кремы. Сайта, адреса и подробностей про OEM в открытых источниках не найдено.</t>
        </is>
      </c>
      <c r="S16" s="2" t="inlineStr">
        <is>
          <t>https://trademark.justia.com/owners/threedayslove-co-ltd-5842403</t>
        </is>
      </c>
      <c r="T16" s="2" t="inlineStr">
        <is>
          <t>Взять контакт; запросить условия OEM/ODM по уходу за кожей (спикулы/экзосомы, ампулы, кремы), MOQ, сроки; уточнить, делают ли кушоны/макияж</t>
        </is>
      </c>
      <c r="U16" s="2" t="inlineStr"/>
      <c r="V16" s="2" t="inlineStr">
        <is>
          <t>2026-10-14</t>
        </is>
      </c>
      <c r="W16" s="2" t="inlineStr">
        <is>
          <t>photos/008_threedayslove.jpg</t>
        </is>
      </c>
    </row>
    <row r="17">
      <c r="A17" s="2" t="n">
        <v>16</v>
      </c>
      <c r="B17" s="3" t="inlineStr">
        <is>
          <t>Япония</t>
        </is>
      </c>
      <c r="C17" s="2" t="inlineStr">
        <is>
          <t>Сырьё / ингредиенты</t>
        </is>
      </c>
      <c r="D17" s="2" t="inlineStr">
        <is>
          <t>Европейский офис: Леваллуа-Перре (пригород Парижа), Франция. Головной офис: Токио</t>
        </is>
      </c>
      <c r="E17" s="2" t="inlineStr">
        <is>
          <t>Iwase Cosfa Europe (группа Iwase Cosfa)</t>
        </is>
      </c>
      <c r="F17" s="2" t="inlineStr">
        <is>
          <t>Cosmetic 360</t>
        </is>
      </c>
      <c r="G17" s="4" t="inlineStr">
        <is>
          <t>https://iwasecosfa.eu</t>
        </is>
      </c>
      <c r="H17" s="4" t="inlineStr">
        <is>
          <t>https://iwasecosfa-eu.covalo.com/</t>
        </is>
      </c>
      <c r="I17" s="2" t="inlineStr">
        <is>
          <t>Дистрибьютор японского косметического сырья: активные ингредиенты, эмульгаторы, УФ-фильтры, пигменты, текстурирующие агенты. На стенде — Formulation Book «Horizons — Beauty without boundaries» (готовые рецептуры на их ингредиентах)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92300 Levallois-Perret, Франция</t>
        </is>
      </c>
      <c r="P17" s="2" t="inlineStr">
        <is>
          <t>Буклет Formulation Book «Horizons», QR-код на каталог</t>
        </is>
      </c>
      <c r="Q17" s="2" t="inlineStr">
        <is>
          <t>Ни с кем не познакомились — взяли буклет</t>
        </is>
      </c>
      <c r="R17" s="2" t="inlineStr">
        <is>
          <t>Японская группа, основана в 1931 г., штаб-квартира в Токио; офисы во Франции и США, недавно вышли в Марокко. Материнская компания сертифицирована ISO 9001 и ISO 14001. Коммерческий директор Europe — Antoine Joubin.</t>
        </is>
      </c>
      <c r="S17" s="2" t="inlineStr">
        <is>
          <t>https://www.cosmetic-valley.com/en/annuaire-entreprises/iwase-cosfa-europe ; https://ledesk.ma/enoff/cosmetique-le-japonais-iwase-cosfa-choisit-le-maroc-pour-souvrir-au-marche-africain/</t>
        </is>
      </c>
      <c r="T17" s="2" t="inlineStr">
        <is>
          <t>Посмотреть каталог по ссылке, выбрать интересные ингредиенты; связаться через сайт / Antoine Joubin</t>
        </is>
      </c>
      <c r="U17" s="2" t="inlineStr"/>
      <c r="V17" s="2" t="inlineStr">
        <is>
          <t>2026-10-14</t>
        </is>
      </c>
      <c r="W17" s="2" t="inlineStr">
        <is>
          <t>photos/003_iwase_cosfa.jpg</t>
        </is>
      </c>
    </row>
  </sheetData>
  <autoFilter ref="A1:W17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G6" r:id="rId6"/>
    <hyperlink xmlns:r="http://schemas.openxmlformats.org/officeDocument/2006/relationships" ref="G7" r:id="rId7"/>
    <hyperlink xmlns:r="http://schemas.openxmlformats.org/officeDocument/2006/relationships" ref="G8" r:id="rId8"/>
    <hyperlink xmlns:r="http://schemas.openxmlformats.org/officeDocument/2006/relationships" ref="G9" r:id="rId9"/>
    <hyperlink xmlns:r="http://schemas.openxmlformats.org/officeDocument/2006/relationships" ref="H9" r:id="rId10"/>
    <hyperlink xmlns:r="http://schemas.openxmlformats.org/officeDocument/2006/relationships" ref="G10" r:id="rId11"/>
    <hyperlink xmlns:r="http://schemas.openxmlformats.org/officeDocument/2006/relationships" ref="G13" r:id="rId12"/>
    <hyperlink xmlns:r="http://schemas.openxmlformats.org/officeDocument/2006/relationships" ref="H15" r:id="rId13"/>
    <hyperlink xmlns:r="http://schemas.openxmlformats.org/officeDocument/2006/relationships" ref="G17" r:id="rId14"/>
    <hyperlink xmlns:r="http://schemas.openxmlformats.org/officeDocument/2006/relationships" ref="H17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</cols>
  <sheetData>
    <row r="1">
      <c r="A1" s="5" t="inlineStr">
        <is>
          <t>Страна производства</t>
        </is>
      </c>
      <c r="B1" s="5" t="inlineStr">
        <is>
          <t>Компаний</t>
        </is>
      </c>
      <c r="C1" s="5" t="inlineStr">
        <is>
          <t>Высокий приоритет</t>
        </is>
      </c>
    </row>
    <row r="2">
      <c r="A2" s="6" t="inlineStr">
        <is>
          <t>Германия</t>
        </is>
      </c>
      <c r="B2" s="6">
        <f>COUNTIF(Контакты!$B$2:$B$17,A2)</f>
        <v/>
      </c>
      <c r="C2" s="6">
        <f>COUNTIFS(Контакты!$B$2:$B$17,A2,Контакты!$U$2:$U$17,"Высокий")</f>
        <v/>
      </c>
    </row>
    <row r="3">
      <c r="A3" s="6" t="inlineStr">
        <is>
          <t>Китай</t>
        </is>
      </c>
      <c r="B3" s="6">
        <f>COUNTIF(Контакты!$B$2:$B$17,A3)</f>
        <v/>
      </c>
      <c r="C3" s="6">
        <f>COUNTIFS(Контакты!$B$2:$B$17,A3,Контакты!$U$2:$U$17,"Высокий")</f>
        <v/>
      </c>
    </row>
    <row r="4">
      <c r="A4" s="6" t="inlineStr">
        <is>
          <t>Франция</t>
        </is>
      </c>
      <c r="B4" s="6">
        <f>COUNTIF(Контакты!$B$2:$B$17,A4)</f>
        <v/>
      </c>
      <c r="C4" s="6">
        <f>COUNTIFS(Контакты!$B$2:$B$17,A4,Контакты!$U$2:$U$17,"Высокий")</f>
        <v/>
      </c>
    </row>
    <row r="5">
      <c r="A5" s="6" t="inlineStr">
        <is>
          <t>Южная Корея</t>
        </is>
      </c>
      <c r="B5" s="6">
        <f>COUNTIF(Контакты!$B$2:$B$17,A5)</f>
        <v/>
      </c>
      <c r="C5" s="6">
        <f>COUNTIFS(Контакты!$B$2:$B$17,A5,Контакты!$U$2:$U$17,"Высокий")</f>
        <v/>
      </c>
    </row>
    <row r="6">
      <c r="A6" s="6" t="inlineStr">
        <is>
          <t>Япония</t>
        </is>
      </c>
      <c r="B6" s="6">
        <f>COUNTIF(Контакты!$B$2:$B$17,A6)</f>
        <v/>
      </c>
      <c r="C6" s="6">
        <f>COUNTIFS(Контакты!$B$2:$B$17,A6,Контакты!$U$2:$U$17,"Высокий")</f>
        <v/>
      </c>
    </row>
    <row r="7">
      <c r="A7" s="7" t="inlineStr">
        <is>
          <t>Итого</t>
        </is>
      </c>
      <c r="B7" s="7">
        <f>SUM(B2:B6)</f>
        <v/>
      </c>
      <c r="C7" s="7">
        <f>SUM(C2:C6)</f>
        <v/>
      </c>
    </row>
    <row r="8">
      <c r="A8" s="6" t="n"/>
      <c r="B8" s="6" t="n"/>
      <c r="C8" s="6" t="n"/>
    </row>
    <row r="9">
      <c r="A9" s="6" t="inlineStr">
        <is>
          <t>Тип компании</t>
        </is>
      </c>
      <c r="B9" s="6" t="inlineStr">
        <is>
          <t>Компаний</t>
        </is>
      </c>
      <c r="C9" s="6" t="n"/>
    </row>
    <row r="10">
      <c r="A10" s="6" t="inlineStr">
        <is>
          <t>Контрактное производство</t>
        </is>
      </c>
      <c r="B10" s="6">
        <f>COUNTIF(Контакты!$C$2:$C$17,A10)</f>
        <v/>
      </c>
      <c r="C10" s="6" t="n"/>
    </row>
    <row r="11">
      <c r="A11" s="6" t="inlineStr">
        <is>
          <t>Логистика</t>
        </is>
      </c>
      <c r="B11" s="6">
        <f>COUNTIF(Контакты!$C$2:$C$17,A11)</f>
        <v/>
      </c>
      <c r="C11" s="6" t="n"/>
    </row>
    <row r="12">
      <c r="A12" s="6" t="inlineStr">
        <is>
          <t>Разработка формул (R&amp;D)</t>
        </is>
      </c>
      <c r="B12" s="6">
        <f>COUNTIF(Контакты!$C$2:$C$17,A12)</f>
        <v/>
      </c>
      <c r="C12" s="6" t="n"/>
    </row>
    <row r="13">
      <c r="A13" s="6" t="inlineStr">
        <is>
          <t>Сырьё / ингредиенты</t>
        </is>
      </c>
      <c r="B13" s="6">
        <f>COUNTIF(Контакты!$C$2:$C$17,A13)</f>
        <v/>
      </c>
      <c r="C13" s="6" t="n"/>
    </row>
    <row r="14">
      <c r="A14" s="6" t="inlineStr">
        <is>
          <t>Упаковка</t>
        </is>
      </c>
      <c r="B14" s="6">
        <f>COUNTIF(Контакты!$C$2:$C$17,A14)</f>
        <v/>
      </c>
      <c r="C1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70" customWidth="1" min="3" max="3"/>
    <col width="16" customWidth="1" min="4" max="4"/>
  </cols>
  <sheetData>
    <row r="1">
      <c r="A1" s="5" t="inlineStr">
        <is>
          <t>Компания</t>
        </is>
      </c>
      <c r="B1" s="5" t="inlineStr">
        <is>
          <t>Тип</t>
        </is>
      </c>
      <c r="C1" s="5" t="inlineStr">
        <is>
          <t>Комментарий</t>
        </is>
      </c>
      <c r="D1" s="5" t="inlineStr">
        <is>
          <t>Проверка</t>
        </is>
      </c>
    </row>
    <row r="2">
      <c r="A2" s="8" t="inlineStr">
        <is>
          <t>全丽 BIOTRULY</t>
        </is>
      </c>
      <c r="B2" s="8" t="inlineStr">
        <is>
          <t>Можно заказать (OEM/ODM)</t>
        </is>
      </c>
      <c r="C2" s="8" t="inlineStr">
        <is>
          <t>Шанхай. ODM: натуральная и ферментированная косметика без консервантов, 9 фабрик, свои формулы, производство тары, ISO 22716 (GMP). Делали для Herborist, Yunnan Baiyao, AFU и др. Сайт biotruly.com</t>
        </is>
      </c>
      <c r="D2" s="8" t="inlineStr">
        <is>
          <t>Подтверждено</t>
        </is>
      </c>
    </row>
    <row r="3">
      <c r="A3" s="8" t="inlineStr">
        <is>
          <t>Cypress Sourcing</t>
        </is>
      </c>
      <c r="B3" s="8" t="inlineStr">
        <is>
          <t>Можно заказать (OEM/ODM)</t>
        </is>
      </c>
      <c r="C3" s="8" t="inlineStr">
        <is>
          <t>Упаковка (уже в таблице контактов)</t>
        </is>
      </c>
      <c r="D3" s="8" t="inlineStr">
        <is>
          <t>Подтверждено</t>
        </is>
      </c>
    </row>
    <row r="4">
      <c r="A4" s="8" t="inlineStr">
        <is>
          <t>佳嘉乐 JAJALE Biotech</t>
        </is>
      </c>
      <c r="B4" s="8" t="inlineStr">
        <is>
          <t>Сырьё / ингредиенты</t>
        </is>
      </c>
      <c r="C4" s="8" t="inlineStr">
        <is>
          <t>Ханчжоу. Ферментированные масла и активы (продаётся через Brenntag); упоминают OEM, но про готовую косметику не ясно</t>
        </is>
      </c>
      <c r="D4" s="8" t="inlineStr">
        <is>
          <t>Частично</t>
        </is>
      </c>
    </row>
    <row r="5">
      <c r="A5" s="8" t="inlineStr">
        <is>
          <t>LFC Laboratoire France Cosmetic</t>
        </is>
      </c>
      <c r="B5" s="8" t="inlineStr">
        <is>
          <t>Не удалось проверить</t>
        </is>
      </c>
      <c r="C5" s="8" t="inlineStr">
        <is>
          <t>«Since 1994». Во Франции с 1994 г. зарегистрирована France OEM Cosmetic (Лион, «Laboratoire France Cosmetic»), оптовая торговля парфюмерией и косметикой — возможно, это она; связь с Китаем не подтверждена</t>
        </is>
      </c>
      <c r="D5" s="8" t="inlineStr">
        <is>
          <t>Не подтверждено</t>
        </is>
      </c>
    </row>
    <row r="6">
      <c r="A6" s="8" t="inlineStr">
        <is>
          <t>华熙生物 Bloomage Biotech</t>
        </is>
      </c>
      <c r="B6" s="8" t="inlineStr">
        <is>
          <t>Сырьё / ингредиенты</t>
        </is>
      </c>
      <c r="C6" s="8" t="inlineStr">
        <is>
          <t>Крупнейший производитель гиалуроновой кислоты; также свои бренды (BioHyalux, Quadha и др.)</t>
        </is>
      </c>
      <c r="D6" s="8" t="inlineStr">
        <is>
          <t>По общим данным</t>
        </is>
      </c>
    </row>
    <row r="7">
      <c r="A7" s="8" t="inlineStr">
        <is>
          <t>福瑞达 FREDA</t>
        </is>
      </c>
      <c r="B7" s="8" t="inlineStr">
        <is>
          <t>Сырьё / ингредиенты</t>
        </is>
      </c>
      <c r="C7" s="8" t="inlineStr">
        <is>
          <t>Гиалуроновая кислота и сырьё + свои бренды</t>
        </is>
      </c>
      <c r="D7" s="8" t="inlineStr">
        <is>
          <t>По общим данным</t>
        </is>
      </c>
    </row>
    <row r="8">
      <c r="A8" s="8" t="inlineStr">
        <is>
          <t>湃肽生物 XPC (Zhejiang Peptites Biotech)</t>
        </is>
      </c>
      <c r="B8" s="8" t="inlineStr">
        <is>
          <t>Сырьё / ингредиенты</t>
        </is>
      </c>
      <c r="C8" s="8" t="inlineStr">
        <is>
          <t>Пептиды для косметики; премия INPD за сырьё 2025</t>
        </is>
      </c>
      <c r="D8" s="8" t="inlineStr">
        <is>
          <t>Подтверждено</t>
        </is>
      </c>
    </row>
    <row r="9">
      <c r="A9" s="8" t="inlineStr">
        <is>
          <t>自然堂集团 CHANDO Group</t>
        </is>
      </c>
      <c r="B9" s="8" t="inlineStr">
        <is>
          <t>Сырьё / ингредиенты</t>
        </is>
      </c>
      <c r="C9" s="8" t="inlineStr">
        <is>
          <t>Свои ингредиенты + бренды (уже в таблице контактов)</t>
        </is>
      </c>
      <c r="D9" s="8" t="inlineStr">
        <is>
          <t>Подтверждено</t>
        </is>
      </c>
    </row>
    <row r="10">
      <c r="A10" s="8" t="inlineStr">
        <is>
          <t>PROYA 珀莱雅</t>
        </is>
      </c>
      <c r="B10" s="8" t="inlineStr">
        <is>
          <t>Своя марка (бренд)</t>
        </is>
      </c>
      <c r="C10" s="8" t="inlineStr">
        <is>
          <t>Крупная группа брендов</t>
        </is>
      </c>
      <c r="D10" s="8" t="inlineStr">
        <is>
          <t>По общим данным</t>
        </is>
      </c>
    </row>
    <row r="11">
      <c r="A11" s="8" t="inlineStr">
        <is>
          <t>MAOGEPING</t>
        </is>
      </c>
      <c r="B11" s="8" t="inlineStr">
        <is>
          <t>Своя марка (бренд)</t>
        </is>
      </c>
      <c r="C11" s="8" t="inlineStr">
        <is>
          <t>Бренд декоративной косметики и ухода</t>
        </is>
      </c>
      <c r="D11" s="8" t="inlineStr">
        <is>
          <t>По общим данным</t>
        </is>
      </c>
    </row>
    <row r="12">
      <c r="A12" s="8" t="inlineStr">
        <is>
          <t>OSM 欧诗漫</t>
        </is>
      </c>
      <c r="B12" s="8" t="inlineStr">
        <is>
          <t>Своя марка (бренд)</t>
        </is>
      </c>
      <c r="C12" s="8" t="inlineStr">
        <is>
          <t>Бренд (жемчужная косметика)</t>
        </is>
      </c>
      <c r="D12" s="8" t="inlineStr">
        <is>
          <t>По общим данным</t>
        </is>
      </c>
    </row>
    <row r="13">
      <c r="A13" s="8" t="inlineStr">
        <is>
          <t>BTN 贝泰妮 Botanee Group</t>
        </is>
      </c>
      <c r="B13" s="8" t="inlineStr">
        <is>
          <t>Своя марка (бренд)</t>
        </is>
      </c>
      <c r="C13" s="8" t="inlineStr">
        <is>
          <t>Группа брендов (Winona), спонсор китайской зоны</t>
        </is>
      </c>
      <c r="D13" s="8" t="inlineStr">
        <is>
          <t>По общим данным</t>
        </is>
      </c>
    </row>
    <row r="14">
      <c r="A14" s="8" t="inlineStr">
        <is>
          <t>林清轩 Forest Cabin</t>
        </is>
      </c>
      <c r="B14" s="8" t="inlineStr">
        <is>
          <t>Своя марка (бренд)</t>
        </is>
      </c>
      <c r="C14" s="8" t="inlineStr">
        <is>
          <t>Бренд ухода (масла, камелия)</t>
        </is>
      </c>
      <c r="D14" s="8" t="inlineStr">
        <is>
          <t>По общим данным</t>
        </is>
      </c>
    </row>
    <row r="15">
      <c r="A15" s="8" t="inlineStr">
        <is>
          <t>花西子 Florasis</t>
        </is>
      </c>
      <c r="B15" s="8" t="inlineStr">
        <is>
          <t>Своя марка (бренд)</t>
        </is>
      </c>
      <c r="C15" s="8" t="inlineStr">
        <is>
          <t>Бренд макияжа, в т.ч. губы; сам заказывает производство у контрактных фабрик</t>
        </is>
      </c>
      <c r="D15" s="8" t="inlineStr">
        <is>
          <t>По общим данным</t>
        </is>
      </c>
    </row>
    <row r="16">
      <c r="A16" s="8" t="inlineStr">
        <is>
          <t>上美 CHICMAX</t>
        </is>
      </c>
      <c r="B16" s="8" t="inlineStr">
        <is>
          <t>Своя марка (бренд)</t>
        </is>
      </c>
      <c r="C16" s="8" t="inlineStr">
        <is>
          <t>Группа брендов (KANS, One Leaf)</t>
        </is>
      </c>
      <c r="D16" s="8" t="inlineStr">
        <is>
          <t>По общим данным</t>
        </is>
      </c>
    </row>
    <row r="17">
      <c r="A17" s="8" t="inlineStr">
        <is>
          <t>谷雨 Guyu</t>
        </is>
      </c>
      <c r="B17" s="8" t="inlineStr">
        <is>
          <t>Своя марка (бренд)</t>
        </is>
      </c>
      <c r="C17" s="8" t="inlineStr">
        <is>
          <t>Бренд ухода; премия INPD за сырьё 2025</t>
        </is>
      </c>
      <c r="D17" s="8" t="inlineStr">
        <is>
          <t>Подтверждено</t>
        </is>
      </c>
    </row>
    <row r="18">
      <c r="A18" s="8" t="inlineStr">
        <is>
          <t>完美 Perfect</t>
        </is>
      </c>
      <c r="B18" s="8" t="inlineStr">
        <is>
          <t>Своя марка (бренд)</t>
        </is>
      </c>
      <c r="C18" s="8" t="inlineStr">
        <is>
          <t>Компания прямых продаж, свои марки</t>
        </is>
      </c>
      <c r="D18" s="8" t="inlineStr">
        <is>
          <t>По общим данным</t>
        </is>
      </c>
    </row>
    <row r="19">
      <c r="A19" s="8" t="inlineStr">
        <is>
          <t>珂谧 KeyC</t>
        </is>
      </c>
      <c r="B19" s="8" t="inlineStr">
        <is>
          <t>Своя марка (бренд)</t>
        </is>
      </c>
      <c r="C19" s="8" t="inlineStr">
        <is>
          <t>Бренд ухода</t>
        </is>
      </c>
      <c r="D19" s="8" t="inlineStr">
        <is>
          <t>По общим данным</t>
        </is>
      </c>
    </row>
    <row r="20">
      <c r="A20" s="8" t="inlineStr">
        <is>
          <t>三草两木</t>
        </is>
      </c>
      <c r="B20" s="8" t="inlineStr">
        <is>
          <t>Своя марка (бренд)</t>
        </is>
      </c>
      <c r="C20" s="8" t="inlineStr">
        <is>
          <t>Бренд ухода</t>
        </is>
      </c>
      <c r="D20" s="8" t="inlineStr">
        <is>
          <t>По общим данным</t>
        </is>
      </c>
    </row>
    <row r="21">
      <c r="A21" s="8" t="inlineStr">
        <is>
          <t>谜奇 MiQi</t>
        </is>
      </c>
      <c r="B21" s="8" t="inlineStr">
        <is>
          <t>Своя марка (бренд)</t>
        </is>
      </c>
      <c r="C21" s="8" t="inlineStr">
        <is>
          <t>Бренд; премия INPD за сырьё 2025</t>
        </is>
      </c>
      <c r="D21" s="8" t="inlineStr">
        <is>
          <t>Подтверждено</t>
        </is>
      </c>
    </row>
    <row r="22">
      <c r="A22" s="8" t="inlineStr">
        <is>
          <t>樊文花</t>
        </is>
      </c>
      <c r="B22" s="8" t="inlineStr">
        <is>
          <t>Своя марка (бренд)</t>
        </is>
      </c>
      <c r="C22" s="8" t="inlineStr">
        <is>
          <t>Сеть салонов ухода за лицом / бренд</t>
        </is>
      </c>
      <c r="D22" s="8" t="inlineStr">
        <is>
          <t>По общим данным</t>
        </is>
      </c>
    </row>
    <row r="23">
      <c r="A23" s="8" t="inlineStr">
        <is>
          <t>阿芙 AFU</t>
        </is>
      </c>
      <c r="B23" s="8" t="inlineStr">
        <is>
          <t>Своя марка (бренд)</t>
        </is>
      </c>
      <c r="C23" s="8" t="inlineStr">
        <is>
          <t>Бренд эфирных масел; премии INPD 2025</t>
        </is>
      </c>
      <c r="D23" s="8" t="inlineStr">
        <is>
          <t>Подтверждено</t>
        </is>
      </c>
    </row>
    <row r="24">
      <c r="A24" s="8" t="inlineStr">
        <is>
          <t>和治友德 FOHERB</t>
        </is>
      </c>
      <c r="B24" s="8" t="inlineStr">
        <is>
          <t>Своя марка (бренд)</t>
        </is>
      </c>
      <c r="C24" s="8" t="inlineStr">
        <is>
          <t>Компания прямых продаж, свои марки</t>
        </is>
      </c>
      <c r="D24" s="8" t="inlineStr">
        <is>
          <t>По общим данным</t>
        </is>
      </c>
    </row>
    <row r="25">
      <c r="A25" s="8" t="inlineStr">
        <is>
          <t>植物医生 DR PLANT</t>
        </is>
      </c>
      <c r="B25" s="8" t="inlineStr">
        <is>
          <t>Своя марка (бренд)</t>
        </is>
      </c>
      <c r="C25" s="8" t="inlineStr">
        <is>
          <t>Бренд ухода, своя розница</t>
        </is>
      </c>
      <c r="D25" s="8" t="inlineStr">
        <is>
          <t>По общим данным</t>
        </is>
      </c>
    </row>
    <row r="26">
      <c r="A26" s="8" t="inlineStr">
        <is>
          <t>HBN</t>
        </is>
      </c>
      <c r="B26" s="8" t="inlineStr">
        <is>
          <t>Своя марка (бренд)</t>
        </is>
      </c>
      <c r="C26" s="8" t="inlineStr">
        <is>
          <t>Бренд ухода</t>
        </is>
      </c>
      <c r="D26" s="8" t="inlineStr">
        <is>
          <t>По общим данным</t>
        </is>
      </c>
    </row>
    <row r="27">
      <c r="A27" s="8" t="inlineStr">
        <is>
          <t>lilybyred</t>
        </is>
      </c>
      <c r="B27" s="8" t="inlineStr">
        <is>
          <t>Своя марка (бренд)</t>
        </is>
      </c>
      <c r="C27" s="8" t="inlineStr">
        <is>
          <t>Корейский бренд макияжа (тинты для губ)</t>
        </is>
      </c>
      <c r="D27" s="8" t="inlineStr">
        <is>
          <t>По общим данным</t>
        </is>
      </c>
    </row>
    <row r="28">
      <c r="A28" s="8" t="inlineStr">
        <is>
          <t>半亩花田</t>
        </is>
      </c>
      <c r="B28" s="8" t="inlineStr">
        <is>
          <t>Своя марка (бренд)</t>
        </is>
      </c>
      <c r="C28" s="8" t="inlineStr">
        <is>
          <t>Бренд ухода за телом</t>
        </is>
      </c>
      <c r="D28" s="8" t="inlineStr">
        <is>
          <t>По общим данным</t>
        </is>
      </c>
    </row>
    <row r="29">
      <c r="A29" s="8" t="inlineStr">
        <is>
          <t>逐本</t>
        </is>
      </c>
      <c r="B29" s="8" t="inlineStr">
        <is>
          <t>Своя марка (бренд)</t>
        </is>
      </c>
      <c r="C29" s="8" t="inlineStr">
        <is>
          <t>Бренд (гидрофильные масла)</t>
        </is>
      </c>
      <c r="D29" s="8" t="inlineStr">
        <is>
          <t>По общим данным</t>
        </is>
      </c>
    </row>
    <row r="30">
      <c r="A30" s="8" t="inlineStr">
        <is>
          <t>玫瑰颂 Absolute Rose</t>
        </is>
      </c>
      <c r="B30" s="8" t="inlineStr">
        <is>
          <t>Своя марка (бренд)</t>
        </is>
      </c>
      <c r="C30" s="8" t="inlineStr">
        <is>
          <t>Бренд на розе; премия INPD за сырьё 2025</t>
        </is>
      </c>
      <c r="D30" s="8" t="inlineStr">
        <is>
          <t>Подтверждено</t>
        </is>
      </c>
    </row>
    <row r="31">
      <c r="A31" s="8" t="inlineStr">
        <is>
          <t>少女本色 Girl Begin</t>
        </is>
      </c>
      <c r="B31" s="8" t="inlineStr">
        <is>
          <t>Своя марка (бренд)</t>
        </is>
      </c>
      <c r="C31" s="8" t="inlineStr">
        <is>
          <t>Бренд, был в китайском павильоне INPD 2025</t>
        </is>
      </c>
      <c r="D31" s="8" t="inlineStr">
        <is>
          <t>Подтверждено</t>
        </is>
      </c>
    </row>
    <row r="32">
      <c r="A32" s="8" t="inlineStr">
        <is>
          <t>Tokalon</t>
        </is>
      </c>
      <c r="B32" s="8" t="inlineStr">
        <is>
          <t>Своя марка (бренд)</t>
        </is>
      </c>
      <c r="C32" s="8" t="inlineStr">
        <is>
          <t>Исторический бренд Tokalon Paris</t>
        </is>
      </c>
      <c r="D32" s="8" t="inlineStr">
        <is>
          <t>По общим данным</t>
        </is>
      </c>
    </row>
    <row r="33">
      <c r="A33" s="8" t="inlineStr">
        <is>
          <t>MONO Skincare</t>
        </is>
      </c>
      <c r="B33" s="8" t="inlineStr">
        <is>
          <t>Своя марка (бренд)</t>
        </is>
      </c>
      <c r="C33" s="8" t="inlineStr">
        <is>
          <t>Бренд ухода</t>
        </is>
      </c>
      <c r="D33" s="8" t="inlineStr">
        <is>
          <t>По общим данным</t>
        </is>
      </c>
    </row>
    <row r="34">
      <c r="A34" s="8" t="inlineStr">
        <is>
          <t>la french beauty</t>
        </is>
      </c>
      <c r="B34" s="8" t="inlineStr">
        <is>
          <t>Своя марка (бренд)</t>
        </is>
      </c>
      <c r="C34" s="8" t="inlineStr">
        <is>
          <t>Бренд</t>
        </is>
      </c>
      <c r="D34" s="8" t="inlineStr">
        <is>
          <t>По общим данным</t>
        </is>
      </c>
    </row>
    <row r="35">
      <c r="A35" s="8" t="inlineStr">
        <is>
          <t>ACYMER 娇诗美</t>
        </is>
      </c>
      <c r="B35" s="8" t="inlineStr">
        <is>
          <t>Не удалось проверить</t>
        </is>
      </c>
      <c r="C35" s="8" t="inlineStr"/>
      <c r="D35" s="8" t="inlineStr">
        <is>
          <t>—</t>
        </is>
      </c>
    </row>
    <row r="36">
      <c r="A36" s="8" t="inlineStr">
        <is>
          <t>循理 Surely</t>
        </is>
      </c>
      <c r="B36" s="8" t="inlineStr">
        <is>
          <t>Не удалось проверить</t>
        </is>
      </c>
      <c r="C36" s="8" t="inlineStr"/>
      <c r="D36" s="8" t="inlineStr">
        <is>
          <t>—</t>
        </is>
      </c>
    </row>
    <row r="37">
      <c r="A37" s="8" t="inlineStr">
        <is>
          <t>养固健 orlherb / BEAUTRIO</t>
        </is>
      </c>
      <c r="B37" s="8" t="inlineStr">
        <is>
          <t>Не удалось проверить</t>
        </is>
      </c>
      <c r="C37" s="8" t="inlineStr"/>
      <c r="D37" s="8" t="inlineStr">
        <is>
          <t>—</t>
        </is>
      </c>
    </row>
    <row r="38">
      <c r="A38" s="8" t="inlineStr">
        <is>
          <t>uniquederma</t>
        </is>
      </c>
      <c r="B38" s="8" t="inlineStr">
        <is>
          <t>Не удалось проверить</t>
        </is>
      </c>
      <c r="C38" s="8" t="inlineStr"/>
      <c r="D38" s="8" t="inlineStr">
        <is>
          <t>—</t>
        </is>
      </c>
    </row>
    <row r="39">
      <c r="A39" s="8" t="inlineStr">
        <is>
          <t>Ricalyn</t>
        </is>
      </c>
      <c r="B39" s="8" t="inlineStr">
        <is>
          <t>Не удалось проверить</t>
        </is>
      </c>
      <c r="C39" s="8" t="inlineStr"/>
      <c r="D39" s="8" t="inlineStr">
        <is>
          <t>—</t>
        </is>
      </c>
    </row>
    <row r="40">
      <c r="A40" s="8" t="inlineStr">
        <is>
          <t>燃</t>
        </is>
      </c>
      <c r="B40" s="8" t="inlineStr">
        <is>
          <t>Не удалось проверить</t>
        </is>
      </c>
      <c r="C40" s="8" t="inlineStr"/>
      <c r="D40" s="8" t="inlineStr">
        <is>
          <t>—</t>
        </is>
      </c>
    </row>
    <row r="41">
      <c r="A41" s="8" t="inlineStr">
        <is>
          <t>SkinVision Lab 肤见未来实验室</t>
        </is>
      </c>
      <c r="B41" s="8" t="inlineStr">
        <is>
          <t>Не удалось проверить</t>
        </is>
      </c>
      <c r="C41" s="8" t="inlineStr"/>
      <c r="D41" s="8" t="inlineStr">
        <is>
          <t>—</t>
        </is>
      </c>
    </row>
    <row r="42">
      <c r="A42" s="8" t="inlineStr">
        <is>
          <t>HAUTEBIO 慧柏研究院</t>
        </is>
      </c>
      <c r="B42" s="8" t="inlineStr">
        <is>
          <t>Не удалось проверить</t>
        </is>
      </c>
      <c r="C42" s="8" t="inlineStr">
        <is>
          <t>Название похоже на исследовательский институт — уточнить на стенде</t>
        </is>
      </c>
      <c r="D42" s="8" t="inlineStr">
        <is>
          <t>—</t>
        </is>
      </c>
    </row>
    <row r="43">
      <c r="A43" s="8" t="inlineStr">
        <is>
          <t>植美馥予</t>
        </is>
      </c>
      <c r="B43" s="8" t="inlineStr">
        <is>
          <t>Не удалось проверить</t>
        </is>
      </c>
      <c r="C43" s="8" t="inlineStr"/>
      <c r="D43" s="8" t="inlineStr">
        <is>
          <t>—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2026-10-14T14:23:34Z</dcterms:created>
  <dcterms:modified xmlns:dcterms="http://purl.org/dc/terms/" xmlns:xsi="http://www.w3.org/2001/XMLSchema-instance" xsi:type="dcterms:W3CDTF">2026-10-14T14:23:34Z</dcterms:modified>
</cp:coreProperties>
</file>