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  <sheet name="Стенд INPD (Китай)" sheetId="3" state="visible" r:id="rId5"/>
  </sheets>
  <definedNames>
    <definedName function="false" hidden="true" localSheetId="0" name="_xlnm._FilterDatabase" vbProcedure="false">Контакты!$A$1:$W$24</definedName>
    <definedName function="false" hidden="true" localSheetId="2" name="_xlnm._FilterDatabase" vbProcedure="false">'Стенд INPD (Китай)'!$A$1:$D$43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<sst xmlns="http://schemas.openxmlformats.org/spreadsheetml/2006/main" count="589" uniqueCount="414">
  <si>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</si>
  <si>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</si>
  <si>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</si>
  <si>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</si>
  <si>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</si>
  <si>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</si>
  <si>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</si>
  <si>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</si>
  <si>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</si>
  <si>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</si>
  <si>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</si>
  <si>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</si>
  <si>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</si>
  <si>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</si>
  <si>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</si>
  <si>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</si>
  <si>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</si>
  <si>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</si>
  <si>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</si>
  <si>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</si>
  <si>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</si>
  <si>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</si>
  <si>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</si>
  <si>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</si>
  <si>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</si>
  <si>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</si>
  <si>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</si>
  <si>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</si>
  <si>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</si>
  <si>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</si>
  <si>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</si>
  <si>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</si>
  <si>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</si>
  <si>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</si>
  <si>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</si>
  <si>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</si>
  <si>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</si>
  <si>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</si>
  <si>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</si>
  <si>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</si>
  <si>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</si>
  <si>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</si>
  <si>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</si>
  <si>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</si>
  <si>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</si>
  <si>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Контрактное производство</t>
  </si>
  <si>
    <t xml:space="preserve">Шанхай, промзона Цзиньшань</t>
  </si>
  <si>
    <r>
      <rPr>
        <sz val="10"/>
        <rFont val="Arial"/>
        <family val="0"/>
        <charset val="1"/>
      </rPr>
      <t xml:space="preserve">BIOTRULY </t>
    </r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(Shanghai Quanli / </t>
    </r>
    <r>
      <rPr>
        <sz val="10"/>
        <rFont val="WenQuanYi Zen Hei"/>
        <family val="2"/>
      </rPr>
      <t xml:space="preserve">上海全丽生物科技有限公司</t>
    </r>
    <r>
      <rPr>
        <sz val="10"/>
        <rFont val="Arial"/>
        <family val="0"/>
        <charset val="1"/>
      </rPr>
      <t xml:space="preserve">)</t>
    </r>
  </si>
  <si>
    <t xml:space="preserve">Cosmetic 360 / INPD, китайская зона (логотип на общем стенде)</t>
  </si>
  <si>
    <t xml:space="preserve">https://www.biotruly.com</t>
  </si>
  <si>
    <t xml:space="preserve">https://www.biotruly.com/zh-CN/project</t>
  </si>
  <si>
    <t xml:space="preserve">ODM: разработка и массовое производство натурального ухода за кожей, акцент на ферментацию растений и продукты без консервантов. Полный цикл: собственные ферментированные ингредиенты, производство косметики, производство тары (флаконов/банок). Свои формулы и оборудование</t>
  </si>
  <si>
    <r>
      <rPr>
        <sz val="10"/>
        <rFont val="Arial"/>
        <family val="0"/>
        <charset val="1"/>
      </rPr>
      <t xml:space="preserve">Промзона Цзиньшань (</t>
    </r>
    <r>
      <rPr>
        <sz val="10"/>
        <rFont val="WenQuanYi Zen Hei"/>
        <family val="2"/>
      </rPr>
      <t xml:space="preserve">金山工业区</t>
    </r>
    <r>
      <rPr>
        <sz val="10"/>
        <rFont val="Arial"/>
        <family val="0"/>
        <charset val="1"/>
      </rPr>
      <t xml:space="preserve">), Шанхай, Китай — точный адрес не найден</t>
    </r>
  </si>
  <si>
    <t xml:space="preserve">Логотип на стене китайских компаний (INPD)</t>
  </si>
  <si>
    <t xml:space="preserve">Не общались — нашли по стене стенда</t>
  </si>
  <si>
    <r>
      <rPr>
        <sz val="10"/>
        <rFont val="Arial"/>
        <family val="0"/>
        <charset val="1"/>
      </rPr>
      <t xml:space="preserve">Основана в октябре 2014 г. По сайту: «тайваньская компания, фабрики в Китае», 9 фабрик. Сертификат ISO 22716 (GMP для косметики, версия ЕС). По данным статьи на Zhihu (может быть устаревшей), делали продукцию для Herborist (</t>
    </r>
    <r>
      <rPr>
        <sz val="10"/>
        <rFont val="WenQuanYi Zen Hei"/>
        <family val="2"/>
      </rPr>
      <t xml:space="preserve">佰草集</t>
    </r>
    <r>
      <rPr>
        <sz val="10"/>
        <rFont val="Arial"/>
        <family val="0"/>
        <charset val="1"/>
      </rPr>
      <t xml:space="preserve">), Yunnan Baiyao, AFU (</t>
    </r>
    <r>
      <rPr>
        <sz val="10"/>
        <rFont val="WenQuanYi Zen Hei"/>
        <family val="2"/>
      </rPr>
      <t xml:space="preserve">阿芙</t>
    </r>
    <r>
      <rPr>
        <sz val="10"/>
        <rFont val="Arial"/>
        <family val="0"/>
        <charset val="1"/>
      </rPr>
      <t xml:space="preserve">), Kans (</t>
    </r>
    <r>
      <rPr>
        <sz val="10"/>
        <rFont val="WenQuanYi Zen Hei"/>
        <family val="2"/>
      </rPr>
      <t xml:space="preserve">高姿</t>
    </r>
    <r>
      <rPr>
        <sz val="10"/>
        <rFont val="Arial"/>
        <family val="0"/>
        <charset val="1"/>
      </rPr>
      <t xml:space="preserve">), Morita, </t>
    </r>
    <r>
      <rPr>
        <sz val="10"/>
        <rFont val="WenQuanYi Zen Hei"/>
        <family val="2"/>
      </rPr>
      <t xml:space="preserve">御泥坊 </t>
    </r>
    <r>
      <rPr>
        <sz val="10"/>
        <rFont val="Arial"/>
        <family val="0"/>
        <charset val="1"/>
      </rPr>
      <t xml:space="preserve">и др.; свои марки — </t>
    </r>
    <r>
      <rPr>
        <sz val="10"/>
        <rFont val="WenQuanYi Zen Hei"/>
        <family val="2"/>
      </rPr>
      <t xml:space="preserve">猪猪家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才木始</t>
    </r>
    <r>
      <rPr>
        <sz val="10"/>
        <rFont val="Arial"/>
        <family val="0"/>
        <charset val="1"/>
      </rPr>
      <t xml:space="preserve">. В отраслевых отчётах упоминается среди ключевых OEM/ODM-производителей. Контакты (телефон, почта) в открытых источниках не найдены; сайт из этой сессии не открывается.</t>
    </r>
  </si>
  <si>
    <t xml:space="preserve">https://www.biotruly.com/zh-CN/about ; https://www.biotruly.com/zh-CN/facility ; https://pitchhub.36kr.com/project/2012747365434885 ; https://zhuanlan.zhihu.com/p/32074190</t>
  </si>
  <si>
    <r>
      <rPr>
        <sz val="10"/>
        <rFont val="Arial"/>
        <family val="0"/>
        <charset val="1"/>
      </rPr>
      <t xml:space="preserve">Открыть biotruly.com → раздел «</t>
    </r>
    <r>
      <rPr>
        <sz val="10"/>
        <rFont val="WenQuanYi Zen Hei"/>
        <family val="2"/>
      </rPr>
      <t xml:space="preserve">联系我们</t>
    </r>
    <r>
      <rPr>
        <sz val="10"/>
        <rFont val="Arial"/>
        <family val="0"/>
        <charset val="1"/>
      </rPr>
      <t xml:space="preserve">» (контакты) или найти их стенд в китайской зоне; запросить: портфолио ODM, MOQ, сроки, есть ли продукты для губ, экспорт в Россию</t>
    </r>
  </si>
  <si>
    <t xml:space="preserve">Высокий</t>
  </si>
  <si>
    <t xml:space="preserve">photos/014_inpd_wall.jpg</t>
  </si>
  <si>
    <t xml:space="preserve">Сырьё / ингредиенты</t>
  </si>
  <si>
    <t xml:space="preserve">Шанхай</t>
  </si>
  <si>
    <t xml:space="preserve">CHANDO Group (Shanghai CHANDO Group Co., Ltd., ранее JALA Group)</t>
  </si>
  <si>
    <t xml:space="preserve">Cosmetic 360, стенд GB64 (Innovation Route — Raw Materials), зона C-Beauty Journey</t>
  </si>
  <si>
    <t xml:space="preserve">https://en.chandogroup.com</t>
  </si>
  <si>
    <r>
      <rPr>
        <sz val="10"/>
        <rFont val="Arial"/>
        <family val="0"/>
        <charset val="1"/>
      </rPr>
      <t xml:space="preserve">Крупная китайская косметическая группа (основана в 2001 г. в Шанхае). На выставке — собственные запатентованные ингредиенты: HiMurchaSin® пептид (антивозрастной, разработан с помощью ИИ, из полярных дрожжей), PDRN, Space Ginseng Yeast, экстракт горечавки (Gentiana Veitchiorum), Hicustos®, BIO-Revive, Photo-Shield 509. Свои бренды: CHANDO (</t>
    </r>
    <r>
      <rPr>
        <sz val="10"/>
        <rFont val="WenQuanYi Zen Hei"/>
        <family val="2"/>
      </rPr>
      <t xml:space="preserve">自然堂</t>
    </r>
    <r>
      <rPr>
        <sz val="10"/>
        <rFont val="Arial"/>
        <family val="0"/>
        <charset val="1"/>
      </rPr>
      <t xml:space="preserve">), MAYSU, Biorrier, Spring Summer, imine</t>
    </r>
  </si>
  <si>
    <t xml:space="preserve">Шанхай, Китай</t>
  </si>
  <si>
    <t xml:space="preserve">Фото стенда</t>
  </si>
  <si>
    <t xml:space="preserve">В январе 2024 JALA Group переименована в Shanghai CHANDO Group. Пептид HiMurchaSin найден вместе с институтом Университета Цинхуа: ИИ перебрал 2,8 млн белков дрожжей; используется в 7-м поколении их антивозрастной сыворотки (апрель 2026). 20 научных докладов на конгрессе IFSCC 2026. Данные об эффективности — из пресс-релизов компании. Неясно, продают ли ингредиенты сторонним брендам и делают ли контрактное производство — уточнить.</t>
  </si>
  <si>
    <t xml:space="preserve">https://en.chandogroup.com/news/40 ; https://kyodonewsprwire.jp/release/202610067388 ; https://www.chinadailyhk.com/article/640844</t>
  </si>
  <si>
    <t xml:space="preserve">Уточнить, продают ли свои ингредиенты (HiMurchaSin, PDRN) другим брендам и на каких условиях; есть ли OEM</t>
  </si>
  <si>
    <t xml:space="preserve">photos/012_chando.jpg</t>
  </si>
  <si>
    <t xml:space="preserve">Упаковка</t>
  </si>
  <si>
    <t xml:space="preserve">Гонконг (офис); производство — партнёрские фабрики в Китае</t>
  </si>
  <si>
    <t xml:space="preserve">Cypress Sourcing Company Ltd.</t>
  </si>
  <si>
    <t xml:space="preserve">Cosmetic 360, стенд GB60 (Innovation Route — Packaging &amp; Packing)</t>
  </si>
  <si>
    <t xml:space="preserve">Упаковка для парфюма и косметики: подарочные и жёсткие коробки (в т.ч. с двойным открыванием, деревянные), экологичная фольга, устойчивая упаковка; на стенде также флаконы для парфюма, диффузоры, стеклянные подсвечники, тубы. Работают как поставщик-посредник через партнёрские фабрики. На видео со стенда: компактные флаконы для парфюма (тревел-формат / ролики 10–15 мл) с цветным декоративным стеклом и узором «под янтарь/мрамор» (синий, оранжевый, красный), чёрные колпачки, фигурные флаконы; к ним — подарочные коробки</t>
  </si>
  <si>
    <t xml:space="preserve">Janis</t>
  </si>
  <si>
    <t xml:space="preserve">+86 137 9887 7125 (WeChat)</t>
  </si>
  <si>
    <t xml:space="preserve">Гонконг</t>
  </si>
  <si>
    <t xml:space="preserve">Добавили в WeChat</t>
  </si>
  <si>
    <t xml:space="preserve">Делают упаковку для парфюма. Могут отправлять в Россию. Минимальная партия — 10 000 шт.</t>
  </si>
  <si>
    <t xml:space="preserve">Основана в 2004 г. в Гонконге, поставщик декоративной/подарочной упаковки через 7 партнёрских фабрик: картонные жёсткие и складные коробки, жестяные коробки, пластиковые пакеты, вакуумная формовка. По таможенным данным США — 63 поставки (бумага/картон, пластик, керамика). То есть это торговая компания, а не сама фабрика — уточнить, какая фабрика будет делать заказ.</t>
  </si>
  <si>
    <t xml:space="preserve">https://directory.designnews.com/cypress-sourcing-company-ltd-comp225768.html ; https://cn.panjiva.com/Cypress-Sourcing-Co-Ltd/67317206</t>
  </si>
  <si>
    <t xml:space="preserve">Написать Janis в WeChat (+86 137 9887 7125): каталог упаковки и флаконов для парфюма, цены на 10 000 шт., сроки и стоимость доставки в Россию, образцы; уточнить фабрику-производителя</t>
  </si>
  <si>
    <t xml:space="preserve">photos/013_cypress.jpg ; photos/013b_cypress_video.MOV</t>
  </si>
  <si>
    <t xml:space="preserve">Ханчжоу, пров. Чжэцзян; партнёр по дизайну — WILPS Design (Германия)</t>
  </si>
  <si>
    <t xml:space="preserve">EURY Packaging (Hangzhou Eury Perfumery Packaging Co., Ltd. / Eury International Limited)</t>
  </si>
  <si>
    <t xml:space="preserve">https://www.eury-packaging.com</t>
  </si>
  <si>
    <t xml:space="preserve">Упаковка для парфюма «под ключ» (one-stop): флаконы любых форм, крышки, оформление. Собственные дизайнеры, дизайн и инжиниринг в одном месте; крышки без сажевого чёрного пигмента (carbon black free), материалы с переработанным пластиком (PCR). Дизайн-партнёр — немецкое бюро WILPS Design</t>
  </si>
  <si>
    <t xml:space="preserve">Peijie LIU</t>
  </si>
  <si>
    <t xml:space="preserve">General Manager</t>
  </si>
  <si>
    <t xml:space="preserve">peijie@eury-packaging.com</t>
  </si>
  <si>
    <t xml:space="preserve">+86 180 6799 9136 ; WhatsApp +49 176 2422 4169</t>
  </si>
  <si>
    <t xml:space="preserve">Room 501, Building A1-3, Xi-Xi Center, Xihu District, Hangzhou, Zhejiang, China</t>
  </si>
  <si>
    <t xml:space="preserve">Визитка на каталоге «EURY — Crafting luxury in every detail»</t>
  </si>
  <si>
    <t xml:space="preserve">Производят флаконы для парфюма, любые</t>
  </si>
  <si>
    <t xml:space="preserve">В открытых источниках информации о компании почти нет — опираемся на каталог и визитку. Адрес в Ханчжоу — офисный центр, где находится фабрика, уточнить.</t>
  </si>
  <si>
    <t xml:space="preserve">Визитка и каталог со стенда</t>
  </si>
  <si>
    <t xml:space="preserve">Написать Peijie Liu (WhatsApp / почта): каталог флаконов, MOQ, цены, сроки, кастомный дизайн, доставка в Россию; сравнить с Cypress Sourcing</t>
  </si>
  <si>
    <t xml:space="preserve">photos/017_eury.jpg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</si>
  <si>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</si>
  <si>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</si>
  <si>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</si>
  <si>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</si>
  <si>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</si>
  <si>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</si>
  <si>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</si>
  <si>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</si>
  <si>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</si>
  <si>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</si>
  <si>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</si>
  <si>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</si>
  <si>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</si>
  <si>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</si>
  <si>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photos/001_kava.jpg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</si>
  <si>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</si>
  <si>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</si>
  <si>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</si>
  <si>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</si>
  <si>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</si>
  <si>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</si>
  <si>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</si>
  <si>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</si>
  <si>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</si>
  <si>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</si>
  <si>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</si>
  <si>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</si>
  <si>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</si>
  <si>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</si>
  <si>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</si>
  <si>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Тайвань</t>
  </si>
  <si>
    <t xml:space="preserve">Бренд со своим заводом (OEM — уточнить)</t>
  </si>
  <si>
    <t xml:space="preserve">Тайвань (Таоюань)</t>
  </si>
  <si>
    <t xml:space="preserve">O'RIGHT Inc. (O'right — Sustainable Beauty)</t>
  </si>
  <si>
    <t xml:space="preserve">Cosmetic 360, тайваньский павильон (Taiwan Beauty Valley), рядом со стендом DC43</t>
  </si>
  <si>
    <t xml:space="preserve">https://www.oright.com.tw</t>
  </si>
  <si>
    <t xml:space="preserve">Производство зубной пасты: 100% натуральная, 100% биооснова, вместо абразивов — древесная целлюлоза (бук, ель, FSC). Линейка Toothpaste Nº Zero и др. (подарочный набор из 3 паст). Основной профиль бренда — экологичный уход за волосами и кожей</t>
  </si>
  <si>
    <t xml:space="preserve">Производство зубной пасты</t>
  </si>
  <si>
    <t xml:space="preserve">Тайваньский «зелёный» бренд со своим заводом — по их данным, первый в Азии GMP-сертифицированный завод «зелёной» косметики, 10 международных сертификатов; углеродная нейтральность (продукты, завод, компания), подтверждено SGS с 2020 г. Награды: Green Product Award, Taiwan Excellence. Делают ли производство под чужую марку (OEM/ODM) — в источниках не найдено, уточнить.</t>
  </si>
  <si>
    <t xml:space="preserve">https://en.wikipedia.org/wiki/O%27right ; https://www.gp-award.com/en/products/toothpaste-n-zero ; https://www.taiwanexcellence.org/en/award/product/1100126</t>
  </si>
  <si>
    <t xml:space="preserve">Уточнить, производят ли пасту под нашу марку (OEM), MOQ, сроки, цены; контакт — через форму на oright.com.tw или на стенде</t>
  </si>
  <si>
    <t xml:space="preserve">photos/020_oright.jpg</t>
  </si>
  <si>
    <t xml:space="preserve">Франция</t>
  </si>
  <si>
    <t xml:space="preserve">Франция (головной офис); заводы во Франции, Испании, Калифорнии (США) и Канаде</t>
  </si>
  <si>
    <t xml:space="preserve">ANJAC Health &amp; Beauty (группа) — Aircos Pascual (макияж: пудры, стики, литьевые продукты); на стенде также SICAF</t>
  </si>
  <si>
    <t xml:space="preserve">Cosmetic 360 (секция Formulation)</t>
  </si>
  <si>
    <t xml:space="preserve">https://www.aircospascual-anjac.com</t>
  </si>
  <si>
    <t xml:space="preserve">Крупная семейная французская промышленная группа: разработка и производство под ключ для брендов красоты и здоровья, от сырья до готового продукта. Подразделения: SICAF — уход и премиальные текстуры; Shadeline — дермокосметика; Aircos — пудровая косметика (лидер во Франции); Pascual Cosmétiques — литьевые и жидкие продукты, СТИКИ (помады/бальзамы для губ); Roval Cosmétiques — 2 завода во Франции + Испания; Cosmetix West (Лос-Анджелес); APR Beauty (Торонто). На стенде акцент: «K-Beauty &amp; K-Derma экспертиза для ваших продуктов» (уход в корейском стиле, патчи от прыщей и т.п.)</t>
  </si>
  <si>
    <t xml:space="preserve">Cindy MARAIS</t>
  </si>
  <si>
    <t xml:space="preserve">Key Account Manager, Aircos Pascual (ANJAC)</t>
  </si>
  <si>
    <t xml:space="preserve">cmarais@aircospascual.com</t>
  </si>
  <si>
    <t xml:space="preserve">+33 6 07 63 89 17</t>
  </si>
  <si>
    <t xml:space="preserve">Aircos Pascual: 151 Boulevard Victor Hugo, 92110 Clichy, Франция</t>
  </si>
  <si>
    <t xml:space="preserve">Визитка Cindy Marais (Aircos Pascual — ANJAC)</t>
  </si>
  <si>
    <t xml:space="preserve">Изучали стенд (уход в стиле K-beauty/K-derma). На видео — коробка с образцами (белая туба/стик и др.) на стенде Aircos Pascual</t>
  </si>
  <si>
    <t xml:space="preserve">Около 16–22 площадок R&amp;D и производства (цифры разнятся по источникам) во Франции, Испании, Калифорнии и Канаде. У SICAF новое здание R&amp;D 1 100 м², команда ~20 человек, 3 лаборатории разработки. Охватывают почти все категории: уход, макияж (пудры, стики, литьевые продукты), дермокосметика — то есть потенциально и продукты для губ.</t>
  </si>
  <si>
    <t xml:space="preserve">https://pharmaboardroom.com/interviews/interview-aurelien-chaufour-managing-director-anjac-france/ ; https://www.premiumbeautynews.com/fr/sicaf-se-dote-d-un-nouveau,18374 ; https://www.premiumbeautynews.com/en/anjac-h-b-group-keeps-growing-with,16583 ; https://www.gcimagazine.com/brands-products/contract-manufacturing-services/news/22914175/anjac-health-beautys-investment-in-apr-beauty-boosts-beauty-turnkey-capabilities ; https://cosmetic-valley.com/en/directory_organization/4114</t>
  </si>
  <si>
    <t xml:space="preserve">Написать Cindy Marais (cmarais@aircospascual.com): продукты для губ (стики, помады, бальзамы), пудры/макияж, MOQ, сроки, цены; уход K-beauty — через SICAF</t>
  </si>
  <si>
    <t xml:space="preserve">photos/016_anjac.jpg ; photos/016b_anjac_aircos_pascual_card.jpg ; photos/016c_anjac_video.MOV</t>
  </si>
  <si>
    <t xml:space="preserve">Дрё (Эр и Луар), ~80 км от Парижа</t>
  </si>
  <si>
    <t xml:space="preserve">Cosinus Servicosm (cosmetic lab &amp; packing)</t>
  </si>
  <si>
    <t xml:space="preserve">https://www.cosinus-servicosm.com</t>
  </si>
  <si>
    <t xml:space="preserve">Лаборатория и фасовка косметики (cosmetic lab &amp; packing): производство ПАРФЮМА с маленькими минимальными партиями — от 1 000 флаконов. На стенде также Climastick — охлаждающий стик для кожи (2 зоны применения, апсайкл-ингредиенты)</t>
  </si>
  <si>
    <t xml:space="preserve">Christophe MEUNIER</t>
  </si>
  <si>
    <t xml:space="preserve">Directeur de Site (директор площадки)</t>
  </si>
  <si>
    <t xml:space="preserve">christophe.meunier@cosinus-servicosm.com</t>
  </si>
  <si>
    <t xml:space="preserve">Моб.: +33 6 76 04 11 61 ; офис: +33 2 37 38 03 30</t>
  </si>
  <si>
    <t xml:space="preserve">12 Rue Jean-Louis Chanoine, ZA de la Rabette, 28100 Dreux, Франция</t>
  </si>
  <si>
    <t xml:space="preserve">От руки: «производят духи, 1000 флакончиков»</t>
  </si>
  <si>
    <t xml:space="preserve">Производят парфюм, маленькие минималки — от 1 000 флаконов</t>
  </si>
  <si>
    <t xml:space="preserve">По реестру Франции: SARL Cosinus, Дрё, работает с 1997 г., код деятельности 20.42Z (производство парфюмерии и туалетных средств), 10–19 сотрудников, выручка ~2 млн € (данные 2015–2017). Небольшое производство — отсюда гибкие маленькие партии.</t>
  </si>
  <si>
    <t xml:space="preserve">https://www.xerfi.com/etudes-par-entreprise/cosinus_414916825 ; https://api-avis-situation-sirene.insee.fr/identification/pdf/41491682500022</t>
  </si>
  <si>
    <t xml:space="preserve">Написать Christophe Meunier: парфюм от 1 000 флаконов — цены, сроки, свои отдушки или наши, флаконы (их или EURY/Cypress), документы</t>
  </si>
  <si>
    <t xml:space="preserve">photos/021_cosinus_servicosm.jpg</t>
  </si>
  <si>
    <t xml:space="preserve">Под Парижем (рядом с аэропортом Руасси — Шарль-де-Голль); есть также производство в Азии</t>
  </si>
  <si>
    <t xml:space="preserve">Desjardin Metal Packaging</t>
  </si>
  <si>
    <t xml:space="preserve">https://www.desjardin.fr</t>
  </si>
  <si>
    <t xml:space="preserve">https://www.desjardin.fr/en/categories/cosmetic-packaging</t>
  </si>
  <si>
    <t xml:space="preserve">Металлическая упаковка (жесть и алюминий) под заказ: круглые баночки с винтовой или надвижной крышкой, прямоугольные и овальные формы, крышки (в т.ч. для стеклянных банок), подарочные коробки, тревел-баночки, вакуумные жестяные контейнеры для сырья. Стандарт или индивидуальная печать/отделка. Подходит для бальзамов, кремов, твёрдых продуктов, бальзамов для губ, подарочных наборов</t>
  </si>
  <si>
    <t xml:space="preserve">contact@desjardin.fr</t>
  </si>
  <si>
    <t xml:space="preserve">Франция, рядом с аэропортом Paris Roissy-Charles-de-Gaulle</t>
  </si>
  <si>
    <t xml:space="preserve">Работают с 1848 г. Делают металлическую упаковку для фармы, косметики, еды и напитков. Партии от 5 000 шт. до нескольких миллионов. На стенде — упаковка для известных брендов: L'Occitane, Roger &amp; Gallet, Biolane, Babor, La Biosthétique, Pommade Nova и др.</t>
  </si>
  <si>
    <t xml:space="preserve">https://www.desjardin.fr/about-us?hsLang=en ; https://www.desjardin.fr/en/categories/cosmetic-packaging ; https://www.desjardin.fr/en/our-history</t>
  </si>
  <si>
    <t xml:space="preserve">Если нужны металлические баночки (бальзамы, твёрдые средства, подарочные наборы): написать на contact@desjardin.fr, запросить каталог и цены от 5 000 шт.</t>
  </si>
  <si>
    <t xml:space="preserve">photos/011_desjardin.jpg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</si>
  <si>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</si>
  <si>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</si>
  <si>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</si>
  <si>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</si>
  <si>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</si>
  <si>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</si>
  <si>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</si>
  <si>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</si>
  <si>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</si>
  <si>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</si>
  <si>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</si>
  <si>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</si>
  <si>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</si>
  <si>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</si>
  <si>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</si>
  <si>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Лион (головной офис); лаборатория и склад — Сен-Вюльба (Эн)</t>
  </si>
  <si>
    <t xml:space="preserve">Formulance Group (Groupe Formulance)</t>
  </si>
  <si>
    <t xml:space="preserve">Cosmetic 360, стенд GB51 (Innovation Route — Raw Materials)</t>
  </si>
  <si>
    <t xml:space="preserve">Дистрибьютор косметического сырья. Направления со стенда: устойчивые альтернативы (био-пигменты чёрного цвета, натуральные замены синтетике, веганская замена ланолину, замена баттерам, 100% растительный воск); натуральные ингредиенты (эфирные и растительные масла, гидролаты, CO2-экстракты, растительные экстракты, натуральные активы); микрокапсулирование (активов и отдушек, под ключ); сырьё для ароматов и вкусов (fragrance &amp; flavour); защитные углеводороды (вазелин, парафины, белое масло); полимеры (замутнители, кондиционеры, загустители). На стенде — образцы ароматического сырья: ветивер, сандал Muhuhu, африканский бессмертник, белая вербена, Resurrection Bush; замены силикона (SILIKE)</t>
  </si>
  <si>
    <t xml:space="preserve">13 rue des Émeraudes, Лион, Франция (индекс 69006 или 69000 — уточнить)</t>
  </si>
  <si>
    <t xml:space="preserve">Фото стенда; QR-код на их LinkedIn; буклет «Jungle Forever» (сохранение тропических лесов)</t>
  </si>
  <si>
    <t xml:space="preserve">Основана в 2013 г. 4 направления: промышленность, здравоохранение, ингредиенты, парфюмерия (Fragrance). Есть натуральные замены силиконам, активы, пигменты, эфирные масла, цветочные воды, растительные масла. EcoVadis Silver, ISO 9001:2015. Полезны как поставщик сырья для парфюма (натуральные ароматические компоненты).</t>
  </si>
  <si>
    <t xml:space="preserve">https://www.cosmetic-valley.com/en/annuaire-entreprises/groupe-formulance ; https://cdn-assets.inwink.com/29c113f5-ef83-40fc-9c73-90e2bb328e9c/9673b4e4-74d3-47f5-b854-5daec598b6a6</t>
  </si>
  <si>
    <t xml:space="preserve">Найти контакт (сайт / LinkedIn); запросить каталог, особенно парфюмерное сырьё и натуральные замены — если пойдём в разработку парфюма</t>
  </si>
  <si>
    <t xml:space="preserve">photos/010_formulance.jpg</t>
  </si>
  <si>
    <t xml:space="preserve">Франция (Париж — агентство Centdegrés); подразделения в Европе и Северной Америке</t>
  </si>
  <si>
    <t xml:space="preserve">IBG — Innovative Beauty Group (Orchard Custom Beauty, Fasten Packaging, Roberts Beauty) + агентство Centdegrés</t>
  </si>
  <si>
    <t xml:space="preserve">Cosmetic 360, пространство «The Innovative Menu» (IBG × Centdegrés)</t>
  </si>
  <si>
    <t xml:space="preserve">Разработка продукта и бренда под ключ (turnkey): парфюм, макияж («инновационные рецептуры с высокой пигментацией»), уход; упаковка; брендинг и дизайн (Centdegrés). Сегменты масс-маркет и масстиж, работают с брендами и торговыми сетями. На стенде — флаконы парфюма в цветном стекле, ароматическое сырьё, макияж</t>
  </si>
  <si>
    <t xml:space="preserve">Оценка: для старта скорее не подходит — посредник-разработчик без своих фабрик (дороже, чем напрямую), работает на масс-маркет и крупные сети, MOQ вероятно десятки тысяч. Плюс — всё под ключ: продукт, брендинг, упаковка, парфюм и макияж. Вариант на будущее при больших объёмах</t>
  </si>
  <si>
    <t xml:space="preserve">IBG — подразделение Albéa (с 2024 г. принадлежит фонду Freeman Capital). Оборот ~380 млн $ (2024), ~400 сотрудников. В июле 2025 купили парижское агентство Centdegrés (основано в 1988 г.). Модель: под ключ + упаковка + агентство. По словам CEO, работают без своих фабрик — производство через партнёров (источники расходятся). Запущен Centdegrés North America.</t>
  </si>
  <si>
    <t xml:space="preserve">https://www.formesdeluxe.com/article/with-centdegres-acquisition-innovative-beauty-group-gets-a-shot-of-creativity.65037 ; https://www.beautymatter.com/articles/french-creative-agency-centdegres-joins-innovative-beauty-group ; https://www.premiumbeautynews.com/en/innovative-beauty-group-boosts,26053 ; https://www.formesdeluxe.com/article/innovative-beauty-group-ibg-unveils-new-positioning.65153</t>
  </si>
  <si>
    <t xml:space="preserve">Взять контакт; уточнить MOQ (вероятно, крупные — масс-маркет), парфюм и макияж под ключ, цены, сроки</t>
  </si>
  <si>
    <t xml:space="preserve">Низкий (на будущее)</t>
  </si>
  <si>
    <t xml:space="preserve">photos/023_ibg_centdegres.jpg</t>
  </si>
  <si>
    <t xml:space="preserve">Форкалькье (Альпы Верхнего Прованса), Прованс; второй сайт — Валансоль</t>
  </si>
  <si>
    <t xml:space="preserve">Laboratoires BEA (группа Condat)</t>
  </si>
  <si>
    <t xml:space="preserve">https://www.laboratoiresbea.com</t>
  </si>
  <si>
    <t xml:space="preserve">Контрактное производство (façonnier) под ключ или по этапам — от концепции до производства: ПАРФЮМЕРИЯ, мыло, жидкая и твёрдая косметика, органическая и обычная. На стенде — линейка ухода за волосами (маски, кондиционеры, сыворотки)</t>
  </si>
  <si>
    <t xml:space="preserve">Anouck HIVER (вписана от руки на визитке Laurine Guillaume)</t>
  </si>
  <si>
    <t xml:space="preserve">По визитке: Laurine GUILLAUME — Area Sales Manager (зачёркнуто, заменено на Anouck Hiver)</t>
  </si>
  <si>
    <t xml:space="preserve">ahiver@laboratoiresbea.com ; lguillaume@laboratoiresbea.com</t>
  </si>
  <si>
    <t xml:space="preserve">Офис: +33 4 92 75 37 69 ; мобильный Laurine Guillaume: +33 6 62 17 58 71</t>
  </si>
  <si>
    <t xml:space="preserve">265 Av. des Châlus, 04300 Forcalquier, Франция</t>
  </si>
  <si>
    <t xml:space="preserve">Визитка Laurine Guillaume, от руки вписано: Anouck HIVER, ahiver@laboratoiresbea.com</t>
  </si>
  <si>
    <t xml:space="preserve">Лаборатория во Франции по производству парфюма. ВНИМАНИЕ: очень долгие сроки производства</t>
  </si>
  <si>
    <t xml:space="preserve">Оборот ~22 млн € (2024), 100–199 сотрудников. С 2008 г. в группе Condat. В 2012 купили Laboratoires SCV (сайт в Валансоли). Сертификаты ISO 9001 и ISO 22716 (GMP). Раньше ~65% продаж шло на экспорт (данные старые).</t>
  </si>
  <si>
    <t xml:space="preserve">https://madeinmarseille.net/environnement/25019-filiere-cosmetique-provence/ ; https://www.xerfi.com/etudes-par-entreprise/laboratoires-bea_383819836 ; https://exhibitor.beautyworldme.com/exhibitor-search-en/exhibitor-search.detail.html/laboratoires-bea.html ; https://www.premiumbeautynews.com/en/laboratoires-bea-focus-on-growth,5593</t>
  </si>
  <si>
    <t xml:space="preserve">Написать Anouck Hiver: точные сроки производства парфюма, MOQ, цены. Сроки — главный минус, сравнить с другими вариантами</t>
  </si>
  <si>
    <t xml:space="preserve">photos/019_laboratoires_bea.jpg</t>
  </si>
  <si>
    <t xml:space="preserve">Марсель</t>
  </si>
  <si>
    <t xml:space="preserve">Laboratoires Biotic Phocea</t>
  </si>
  <si>
    <t xml:space="preserve">Cosmetic 360, стенд GC58 (Innovation Route — Formulation)</t>
  </si>
  <si>
    <t xml:space="preserve">biotic.fr</t>
  </si>
  <si>
    <t xml:space="preserve">Private label под ключ (full service), Made in France: готовые или индивидуальные формулы; R&amp;D, упаковка, регуляторика, тесты. Производство от 400 шт. Натуральная и органическая (bio) косметика. На стенде: сыворотки (Dark Spot Serum — от пигментных пятен), масла/эликсиры во флаконах-капельницах, бальзамы, кремы; есть линейка для салонов красоты</t>
  </si>
  <si>
    <t xml:space="preserve">16-18 Boulevard Michelet, 13008 Marseille, Франция (по открытым источникам; в справочнике Cosmebio — Immeuble Le Performance, 13008 Marseille)</t>
  </si>
  <si>
    <t xml:space="preserve">Фото стенда; на стенде QR-код на форму обратной связи</t>
  </si>
  <si>
    <t xml:space="preserve">Более 10 лет специализируются на производстве натуральной и органической косметики под чужой маркой для малых и средних компаний и брендов. Есть готовая линейка «под ваш бренд» и разработка по ТЗ. Член ассоциации Cosmebio (органическая косметика). Развивают экспорт и R&amp;D.</t>
  </si>
  <si>
    <t xml:space="preserve">https://www.cosmebio.org/en/professional-information/cosmebio-members-directory/952/ ; https://www.lejournaldesentreprises.com/article/marseille-le-laboratoire-biotic-phocea-lance-une-gamme-de-cosmetiques-personnalisable-pour-les-103794 ; https://www.cosmed.fr/societes/biotic-phocea-laboratoires ; https://www.lejournaldesentreprises.com/article/coronavirus-les-laboratoires-biotic-phocea-misent-sur-lexport-et-la-rd-488787</t>
  </si>
  <si>
    <t xml:space="preserve">Запросить каталог готовых формул и цены от 400 шт.; уточнить, делают ли продукты для губ и парфюм</t>
  </si>
  <si>
    <t xml:space="preserve">photos/009_biotic_phocea.jpg</t>
  </si>
  <si>
    <t xml:space="preserve">Лантийи (под Лионом), Франция; также Шатель-Сен-Дени (Швейцария) и Ржичани (под Прагой, Чехия)</t>
  </si>
  <si>
    <t xml:space="preserve">MS BEAUTiLAB (группа Marvinpac)</t>
  </si>
  <si>
    <t xml:space="preserve">Cosmetic 360, стенд DC23 (Innovation Route — Formulation)</t>
  </si>
  <si>
    <t xml:space="preserve">https://www.msbeautilab.com</t>
  </si>
  <si>
    <t xml:space="preserve">Контрактное производство под ключ: декоративная косметика (цветные продукты, пудры, ПОМАДЫ/продукты для губ) и уход (эмульсии). Готовые формулы (ready-to-go) и разработка на заказ; формула, упаковка, производство, поддержка в маркетинге и дизайне. Новинка на стенде: веганский плампер для губ со спикулами (мгновенное увеличение объёма, 5-в-1 подготовка губ); шёлковые патчи для глаз</t>
  </si>
  <si>
    <t xml:space="preserve">Tatyana DUBUQUOY</t>
  </si>
  <si>
    <t xml:space="preserve">Business Manager Senior</t>
  </si>
  <si>
    <t xml:space="preserve">tdubuquoy@msbeautilab.com</t>
  </si>
  <si>
    <t xml:space="preserve">+33 6 68 93 00 22</t>
  </si>
  <si>
    <t xml:space="preserve">124 rue de Charpenay, 69210 Lentilly, Франция</t>
  </si>
  <si>
    <t xml:space="preserve">Визитка «Every bestseller has a beginning»</t>
  </si>
  <si>
    <t xml:space="preserve">Производство декоративной косметики</t>
  </si>
  <si>
    <t xml:space="preserve">Основана в 1964 г. Группа Marvinpac: 2 направления — Marvinpac (еда/напитки) и MS Beautilab (макияж и уход). Оборот группы &gt; 100 млн €, мощность &gt; 6 000 т. Работали с LVMH и L'Oréal. С 2024 г. фокус на эмульсиях, пудрах и помадах. Есть офис на восточном побережье США, США &gt; 20% выручки. Имя Tatyana — возможно, говорит по-русски, уточнить.</t>
  </si>
  <si>
    <t xml:space="preserve">https://bioalps.org/organizations/ms-beautilab-sa ; https://www.premiumbeautynews.com/fr/la-k-beauty-nous-inspire-nous-la,26511 ; https://www.premiumbeautynews.com/fr/ms-beautilab-engage-sa,18742 ; https://www.industries-cosmetiques.fr/en/?p=10828</t>
  </si>
  <si>
    <t xml:space="preserve">Написать Tatyana Dubuquoy: продукты для губ (помады, плампер), пудры, готовые формулы, MOQ, сроки, цены, возможность поставок в Россию</t>
  </si>
  <si>
    <t xml:space="preserve">photos/018_ms_beautilab_card.jpg ; photos/018b_ms_beautilab_stand.jpg</t>
  </si>
  <si>
    <t xml:space="preserve">Регион Иль-де-Франс (запад от Парижа: Гервиль / Мант-ля-Жоли — ABO); France Lab — Париж, хаб в Нью-Йорке</t>
  </si>
  <si>
    <t xml:space="preserve">Marie Claire Beauty Group: CEGEDIS (парфюм) + ABO Cosmétiques (косметика) + France Lab (разработка) + Decortiat</t>
  </si>
  <si>
    <t xml:space="preserve">Cosmetic 360, стенд DB28 (Innovation Route — Formulation)</t>
  </si>
  <si>
    <t xml:space="preserve">Полный цикл от создания бренда до производства, под ключ или по этапам: ПАРФЮМ (CEGEDIS — производство парфюмерии), уход, макияж, уход за волосами, ароматы для дома (ABO — производство и фасовка селективной, органической и натуральной косметики, в т.ч. парфюмерной воды). France Lab — разработка ароматов и косметики на заказ, дизайн упаковки, регуляторика. Новинка на стенде: парфюм нового поколения — без спирта, на водной основе, стойкий. На витрине: парфюмы, кремы, палетки теней, румяна, помады</t>
  </si>
  <si>
    <t xml:space="preserve">Производитель парфюма</t>
  </si>
  <si>
    <t xml:space="preserve">Группа принадлежит медиагруппе Marie Claire. France Lab куплена в 2015 г., ABO Cosmétiques и Cegedis — в 2018 г., дизайн-агентство Desdoigts &amp; Associés — в 2020 г. Вместе закрывают цепочку от создания бренда до производства. Decortiat — в источниках не найден (возможно, партнёр/подразделение).</t>
  </si>
  <si>
    <t xml:space="preserve">https://www.premiumbeautynews.com/en/marie-claire-group-to-speed-up,14015 ; https://beautymatter.com/articles/marie-claire-group-continues-diversification-in-beauty-sector ; https://www.cosmetic-valley.com/en/annuaire-entreprises/abo-cosmetiques ; https://www.premiumbeautynews.com/en/france-lab-sets-up-offices-and-an,9839 ; https://www.cbnews.fr/medias/groupe-marie-claire-rachete-agence-desdoigts-associes</t>
  </si>
  <si>
    <t xml:space="preserve">Взять контакт на стенде DB28; запросить: парфюм (в т.ч. безспиртовой на водной основе), MOQ, сроки, цены; продукты для губ и макияж</t>
  </si>
  <si>
    <t xml:space="preserve">photos/022_marie_claire_beauty_group.jpg</t>
  </si>
  <si>
    <t xml:space="preserve">Мейссак (Коррез), Новая Аквитания; второй сайт — Юссак</t>
  </si>
  <si>
    <t xml:space="preserve">SIMAH (группа SOTHYS)</t>
  </si>
  <si>
    <t xml:space="preserve">https://simah-cosmetiques.fr</t>
  </si>
  <si>
    <t xml:space="preserve">Контрактное производство (CDMO / façonnier) высокоэффективной косметики, Made in France: адаптация и доработка готовых формул, создание формул на заказ, промышленное производство формул клиента. Кремы и уход (по буклету — розлив кремов в банки, реакторы-смесители)</t>
  </si>
  <si>
    <t xml:space="preserve">Usine Le Gôt, 890 route de Chauffour, 19500 Meyssac, Франция</t>
  </si>
  <si>
    <t xml:space="preserve">Буклет «SIMAH 1971 — Cosmetic Manufacturer», на столе — анкета-запрос для клиентов</t>
  </si>
  <si>
    <t xml:space="preserve">Основан в 1971 г. семьёй Мас; производственное подразделение группы SOTHYS (профессиональная салонная косметика), которое открыло завод для сторонних брендов. ~140 сотрудников, оборот ~20 млн € (2024). Сертификаты ISO 22716 (GMP) и COSMOS (органика). Юрлицо SAS, SIREN 451 195 325.</t>
  </si>
  <si>
    <t xml:space="preserve">https://www.cosmetic-valley.com/en/annuaire-entreprises/simah ; https://www.lejournaldesentreprises.com/article/sothys-souvre-la-production-facon-2111197 ; https://www.leaderreunion.fr/en/projets-de-cosmetiques-simah-change-la-donne/ ; https://presseagence.fr/paris-simah-ouvre-son-savoir-faire-a-lexterne-une-opportunite-unique-pour-les-marques-du-secteur-cosmetique/ ; https://www.xerfi.com/etudes-par-entreprise/simah_451195325</t>
  </si>
  <si>
    <t xml:space="preserve">Заполнить их анкету-запрос на стенде или через сайт; уточнить MOQ, сроки, делают ли продукты для губ и парфюм</t>
  </si>
  <si>
    <t xml:space="preserve">photos/015_simah.jpg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</si>
  <si>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</si>
  <si>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</si>
  <si>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</si>
  <si>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</si>
  <si>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</si>
  <si>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</si>
  <si>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</si>
  <si>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</si>
  <si>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</si>
  <si>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</si>
  <si>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</si>
  <si>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</si>
  <si>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</si>
  <si>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</si>
  <si>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</si>
  <si>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</si>
  <si>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</si>
  <si>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</si>
  <si>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</si>
  <si>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</si>
  <si>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</si>
  <si>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</si>
  <si>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</si>
  <si>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</si>
  <si>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</si>
  <si>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</si>
  <si>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</si>
  <si>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</si>
  <si>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марок косметику для кожи (skincare)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</si>
  <si>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</si>
  <si>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</si>
  <si>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 по уходу за кожей (спикулы/экзосомы, ампулы, кремы), MOQ, сроки; уточнить, делают ли кушоны/макияж</t>
  </si>
  <si>
    <t xml:space="preserve">photos/008_threedayslove.jpg</t>
  </si>
  <si>
    <t xml:space="preserve">Япония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</si>
  <si>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</si>
  <si>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</si>
  <si>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</si>
  <si>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</si>
  <si>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</si>
  <si>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</si>
  <si>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</si>
  <si>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</si>
  <si>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</si>
  <si>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</si>
  <si>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</si>
  <si>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</si>
  <si>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</si>
  <si>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</si>
  <si>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</si>
  <si>
    <t xml:space="preserve">Тип</t>
  </si>
  <si>
    <t xml:space="preserve">Комментарий</t>
  </si>
  <si>
    <t xml:space="preserve">Проверка</t>
  </si>
  <si>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BIOTRULY</t>
    </r>
  </si>
  <si>
    <t xml:space="preserve">Можно заказать (OEM/ODM)</t>
  </si>
  <si>
    <t xml:space="preserve">Шанхай. ODM: натуральная и ферментированная косметика без консервантов, 9 фабрик, свои формулы, производство тары, ISO 22716 (GMP). Делали для Herborist, Yunnan Baiyao, AFU и др. Сайт biotruly.com</t>
  </si>
  <si>
    <t xml:space="preserve">Подтверждено</t>
  </si>
  <si>
    <t xml:space="preserve">Cypress Sourcing</t>
  </si>
  <si>
    <t xml:space="preserve">Упаковка (уже в таблице контактов)</t>
  </si>
  <si>
    <r>
      <rPr>
        <sz val="10"/>
        <rFont val="WenQuanYi Zen Hei"/>
        <family val="2"/>
      </rPr>
      <t xml:space="preserve">佳嘉乐 </t>
    </r>
    <r>
      <rPr>
        <sz val="10"/>
        <rFont val="Arial"/>
        <family val="0"/>
        <charset val="1"/>
      </rPr>
      <t xml:space="preserve">JAJALE Biotech</t>
    </r>
  </si>
  <si>
    <t xml:space="preserve">Ханчжоу. Ферментированные масла и активы (продаётся через Brenntag); упоминают OEM, но про готовую косметику не ясно</t>
  </si>
  <si>
    <t xml:space="preserve">Частично</t>
  </si>
  <si>
    <t xml:space="preserve">LFC Laboratoire France Cosmetic</t>
  </si>
  <si>
    <t xml:space="preserve">Не удалось проверить</t>
  </si>
  <si>
    <t xml:space="preserve">«Since 1994». Во Франции с 1994 г. зарегистрирована France OEM Cosmetic (Лион, «Laboratoire France Cosmetic»), оптовая торговля парфюмерией и косметикой — возможно, это она; связь с Китаем не подтверждена</t>
  </si>
  <si>
    <t xml:space="preserve">Не подтверждено</t>
  </si>
  <si>
    <r>
      <rPr>
        <sz val="10"/>
        <rFont val="WenQuanYi Zen Hei"/>
        <family val="2"/>
      </rPr>
      <t xml:space="preserve">华熙生物 </t>
    </r>
    <r>
      <rPr>
        <sz val="10"/>
        <rFont val="Arial"/>
        <family val="0"/>
        <charset val="1"/>
      </rPr>
      <t xml:space="preserve">Bloomage Biotech</t>
    </r>
  </si>
  <si>
    <t xml:space="preserve">Крупнейший производитель гиалуроновой кислоты; также свои бренды (BioHyalux, Quadha и др.)</t>
  </si>
  <si>
    <t xml:space="preserve">По общим данным</t>
  </si>
  <si>
    <r>
      <rPr>
        <sz val="10"/>
        <rFont val="WenQuanYi Zen Hei"/>
        <family val="2"/>
      </rPr>
      <t xml:space="preserve">福瑞达 </t>
    </r>
    <r>
      <rPr>
        <sz val="10"/>
        <rFont val="Arial"/>
        <family val="0"/>
        <charset val="1"/>
      </rPr>
      <t xml:space="preserve">FREDA</t>
    </r>
  </si>
  <si>
    <t xml:space="preserve">Гиалуроновая кислота и сырьё + свои бренды</t>
  </si>
  <si>
    <r>
      <rPr>
        <sz val="10"/>
        <rFont val="WenQuanYi Zen Hei"/>
        <family val="2"/>
      </rPr>
      <t xml:space="preserve">湃肽生物 </t>
    </r>
    <r>
      <rPr>
        <sz val="10"/>
        <rFont val="Arial"/>
        <family val="0"/>
        <charset val="1"/>
      </rPr>
      <t xml:space="preserve">XPC (Zhejiang Peptites Biotech)</t>
    </r>
  </si>
  <si>
    <t xml:space="preserve">Пептиды для косметики; премия INPD за сырьё 2025</t>
  </si>
  <si>
    <r>
      <rPr>
        <sz val="10"/>
        <rFont val="WenQuanYi Zen Hei"/>
        <family val="2"/>
      </rPr>
      <t xml:space="preserve">自然堂集团 </t>
    </r>
    <r>
      <rPr>
        <sz val="10"/>
        <rFont val="Arial"/>
        <family val="0"/>
        <charset val="1"/>
      </rPr>
      <t xml:space="preserve">CHANDO Group</t>
    </r>
  </si>
  <si>
    <t xml:space="preserve">Свои ингредиенты + бренды (уже в таблице контактов)</t>
  </si>
  <si>
    <r>
      <rPr>
        <sz val="10"/>
        <rFont val="Arial"/>
        <family val="0"/>
        <charset val="1"/>
      </rPr>
      <t xml:space="preserve">PROYA </t>
    </r>
    <r>
      <rPr>
        <sz val="10"/>
        <rFont val="WenQuanYi Zen Hei"/>
        <family val="2"/>
      </rPr>
      <t xml:space="preserve">珀莱雅</t>
    </r>
  </si>
  <si>
    <t xml:space="preserve">Своя марка (бренд)</t>
  </si>
  <si>
    <t xml:space="preserve">Крупная группа брендов</t>
  </si>
  <si>
    <t xml:space="preserve">MAOGEPING</t>
  </si>
  <si>
    <t xml:space="preserve">Бренд декоративной косметики и ухода</t>
  </si>
  <si>
    <r>
      <rPr>
        <sz val="10"/>
        <rFont val="Arial"/>
        <family val="0"/>
        <charset val="1"/>
      </rPr>
      <t xml:space="preserve">OSM </t>
    </r>
    <r>
      <rPr>
        <sz val="10"/>
        <rFont val="WenQuanYi Zen Hei"/>
        <family val="2"/>
      </rPr>
      <t xml:space="preserve">欧诗漫</t>
    </r>
  </si>
  <si>
    <t xml:space="preserve">Бренд (жемчужная косметика)</t>
  </si>
  <si>
    <r>
      <rPr>
        <sz val="10"/>
        <rFont val="Arial"/>
        <family val="0"/>
        <charset val="1"/>
      </rPr>
      <t xml:space="preserve">BTN </t>
    </r>
    <r>
      <rPr>
        <sz val="10"/>
        <rFont val="WenQuanYi Zen Hei"/>
        <family val="2"/>
      </rPr>
      <t xml:space="preserve">贝泰妮 </t>
    </r>
    <r>
      <rPr>
        <sz val="10"/>
        <rFont val="Arial"/>
        <family val="0"/>
        <charset val="1"/>
      </rPr>
      <t xml:space="preserve">Botanee Group</t>
    </r>
  </si>
  <si>
    <t xml:space="preserve">Группа брендов (Winona), спонсор китайской зоны</t>
  </si>
  <si>
    <r>
      <rPr>
        <sz val="10"/>
        <rFont val="WenQuanYi Zen Hei"/>
        <family val="2"/>
      </rPr>
      <t xml:space="preserve">林清轩 </t>
    </r>
    <r>
      <rPr>
        <sz val="10"/>
        <rFont val="Arial"/>
        <family val="0"/>
        <charset val="1"/>
      </rPr>
      <t xml:space="preserve">Forest Cabin</t>
    </r>
  </si>
  <si>
    <t xml:space="preserve">Бренд ухода (масла, камелия)</t>
  </si>
  <si>
    <r>
      <rPr>
        <sz val="10"/>
        <rFont val="WenQuanYi Zen Hei"/>
        <family val="2"/>
      </rPr>
      <t xml:space="preserve">花西子 </t>
    </r>
    <r>
      <rPr>
        <sz val="10"/>
        <rFont val="Arial"/>
        <family val="0"/>
        <charset val="1"/>
      </rPr>
      <t xml:space="preserve">Florasis</t>
    </r>
  </si>
  <si>
    <t xml:space="preserve">Бренд макияжа, в т.ч. губы; сам заказывает производство у контрактных фабрик</t>
  </si>
  <si>
    <r>
      <rPr>
        <sz val="10"/>
        <rFont val="WenQuanYi Zen Hei"/>
        <family val="2"/>
      </rPr>
      <t xml:space="preserve">上美 </t>
    </r>
    <r>
      <rPr>
        <sz val="10"/>
        <rFont val="Arial"/>
        <family val="0"/>
        <charset val="1"/>
      </rPr>
      <t xml:space="preserve">CHICMAX</t>
    </r>
  </si>
  <si>
    <t xml:space="preserve">Группа брендов (KANS, One Leaf)</t>
  </si>
  <si>
    <r>
      <rPr>
        <sz val="10"/>
        <rFont val="WenQuanYi Zen Hei"/>
        <family val="2"/>
      </rPr>
      <t xml:space="preserve">谷雨 </t>
    </r>
    <r>
      <rPr>
        <sz val="10"/>
        <rFont val="Arial"/>
        <family val="0"/>
        <charset val="1"/>
      </rPr>
      <t xml:space="preserve">Guyu</t>
    </r>
  </si>
  <si>
    <t xml:space="preserve">Бренд ухода; премия INPD за сырьё 2025</t>
  </si>
  <si>
    <r>
      <rPr>
        <sz val="10"/>
        <rFont val="WenQuanYi Zen Hei"/>
        <family val="2"/>
      </rPr>
      <t xml:space="preserve">完美 </t>
    </r>
    <r>
      <rPr>
        <sz val="10"/>
        <rFont val="Arial"/>
        <family val="0"/>
        <charset val="1"/>
      </rPr>
      <t xml:space="preserve">Perfect</t>
    </r>
  </si>
  <si>
    <t xml:space="preserve">Компания прямых продаж, свои марки</t>
  </si>
  <si>
    <r>
      <rPr>
        <sz val="10"/>
        <rFont val="WenQuanYi Zen Hei"/>
        <family val="2"/>
      </rPr>
      <t xml:space="preserve">珂谧 </t>
    </r>
    <r>
      <rPr>
        <sz val="10"/>
        <rFont val="Arial"/>
        <family val="0"/>
        <charset val="1"/>
      </rPr>
      <t xml:space="preserve">KeyC</t>
    </r>
  </si>
  <si>
    <t xml:space="preserve">Бренд ухода</t>
  </si>
  <si>
    <t xml:space="preserve">三草两木</t>
  </si>
  <si>
    <r>
      <rPr>
        <sz val="10"/>
        <rFont val="WenQuanYi Zen Hei"/>
        <family val="2"/>
      </rPr>
      <t xml:space="preserve">谜奇 </t>
    </r>
    <r>
      <rPr>
        <sz val="10"/>
        <rFont val="Arial"/>
        <family val="0"/>
        <charset val="1"/>
      </rPr>
      <t xml:space="preserve">MiQi</t>
    </r>
  </si>
  <si>
    <t xml:space="preserve">Бренд; премия INPD за сырьё 2025</t>
  </si>
  <si>
    <t xml:space="preserve">樊文花</t>
  </si>
  <si>
    <t xml:space="preserve">Сеть салонов ухода за лицом / бренд</t>
  </si>
  <si>
    <r>
      <rPr>
        <sz val="10"/>
        <rFont val="WenQuanYi Zen Hei"/>
        <family val="2"/>
      </rPr>
      <t xml:space="preserve">阿芙 </t>
    </r>
    <r>
      <rPr>
        <sz val="10"/>
        <rFont val="Arial"/>
        <family val="0"/>
        <charset val="1"/>
      </rPr>
      <t xml:space="preserve">AFU</t>
    </r>
  </si>
  <si>
    <t xml:space="preserve">Бренд эфирных масел; премии INPD 2025</t>
  </si>
  <si>
    <r>
      <rPr>
        <sz val="10"/>
        <rFont val="WenQuanYi Zen Hei"/>
        <family val="2"/>
      </rPr>
      <t xml:space="preserve">和治友德 </t>
    </r>
    <r>
      <rPr>
        <sz val="10"/>
        <rFont val="Arial"/>
        <family val="0"/>
        <charset val="1"/>
      </rPr>
      <t xml:space="preserve">FOHERB</t>
    </r>
  </si>
  <si>
    <r>
      <rPr>
        <sz val="10"/>
        <rFont val="WenQuanYi Zen Hei"/>
        <family val="2"/>
      </rPr>
      <t xml:space="preserve">植物医生 </t>
    </r>
    <r>
      <rPr>
        <sz val="10"/>
        <rFont val="Arial"/>
        <family val="0"/>
        <charset val="1"/>
      </rPr>
      <t xml:space="preserve">DR PLANT</t>
    </r>
  </si>
  <si>
    <t xml:space="preserve">Бренд ухода, своя розница</t>
  </si>
  <si>
    <t xml:space="preserve">HBN</t>
  </si>
  <si>
    <t xml:space="preserve">lilybyred</t>
  </si>
  <si>
    <t xml:space="preserve">Корейский бренд макияжа (тинты для губ)</t>
  </si>
  <si>
    <t xml:space="preserve">半亩花田</t>
  </si>
  <si>
    <t xml:space="preserve">Бренд ухода за телом</t>
  </si>
  <si>
    <t xml:space="preserve">逐本</t>
  </si>
  <si>
    <t xml:space="preserve">Бренд (гидрофильные масла)</t>
  </si>
  <si>
    <r>
      <rPr>
        <sz val="10"/>
        <rFont val="WenQuanYi Zen Hei"/>
        <family val="2"/>
      </rPr>
      <t xml:space="preserve">玫瑰颂 </t>
    </r>
    <r>
      <rPr>
        <sz val="10"/>
        <rFont val="Arial"/>
        <family val="0"/>
        <charset val="1"/>
      </rPr>
      <t xml:space="preserve">Absolute Rose</t>
    </r>
  </si>
  <si>
    <t xml:space="preserve">Бренд на розе; премия INPD за сырьё 2025</t>
  </si>
  <si>
    <r>
      <rPr>
        <sz val="10"/>
        <rFont val="WenQuanYi Zen Hei"/>
        <family val="2"/>
      </rPr>
      <t xml:space="preserve">少女本色 </t>
    </r>
    <r>
      <rPr>
        <sz val="10"/>
        <rFont val="Arial"/>
        <family val="0"/>
        <charset val="1"/>
      </rPr>
      <t xml:space="preserve">Girl Begin</t>
    </r>
  </si>
  <si>
    <t xml:space="preserve">Бренд, был в китайском павильоне INPD 2025</t>
  </si>
  <si>
    <t xml:space="preserve">Tokalon</t>
  </si>
  <si>
    <t xml:space="preserve">Исторический бренд Tokalon Paris</t>
  </si>
  <si>
    <t xml:space="preserve">MONO Skincare</t>
  </si>
  <si>
    <t xml:space="preserve">la french beauty</t>
  </si>
  <si>
    <t xml:space="preserve">Бренд</t>
  </si>
  <si>
    <r>
      <rPr>
        <sz val="10"/>
        <rFont val="Arial"/>
        <family val="0"/>
        <charset val="1"/>
      </rPr>
      <t xml:space="preserve">ACYMER </t>
    </r>
    <r>
      <rPr>
        <sz val="10"/>
        <rFont val="WenQuanYi Zen Hei"/>
        <family val="2"/>
      </rPr>
      <t xml:space="preserve">娇诗美</t>
    </r>
  </si>
  <si>
    <t xml:space="preserve">—</t>
  </si>
  <si>
    <r>
      <rPr>
        <sz val="10"/>
        <rFont val="WenQuanYi Zen Hei"/>
        <family val="2"/>
      </rPr>
      <t xml:space="preserve">循理 </t>
    </r>
    <r>
      <rPr>
        <sz val="10"/>
        <rFont val="Arial"/>
        <family val="0"/>
        <charset val="1"/>
      </rPr>
      <t xml:space="preserve">Surely</t>
    </r>
  </si>
  <si>
    <r>
      <rPr>
        <sz val="10"/>
        <rFont val="WenQuanYi Zen Hei"/>
        <family val="2"/>
      </rPr>
      <t xml:space="preserve">养固健 </t>
    </r>
    <r>
      <rPr>
        <sz val="10"/>
        <rFont val="Arial"/>
        <family val="0"/>
        <charset val="1"/>
      </rPr>
      <t xml:space="preserve">orlherb / BEAUTRIO</t>
    </r>
  </si>
  <si>
    <t xml:space="preserve">uniquederma</t>
  </si>
  <si>
    <t xml:space="preserve">Ricalyn</t>
  </si>
  <si>
    <t xml:space="preserve">燃</t>
  </si>
  <si>
    <r>
      <rPr>
        <sz val="10"/>
        <rFont val="Arial"/>
        <family val="0"/>
        <charset val="1"/>
      </rPr>
      <t xml:space="preserve">SkinVision Lab </t>
    </r>
    <r>
      <rPr>
        <sz val="10"/>
        <rFont val="WenQuanYi Zen Hei"/>
        <family val="2"/>
      </rPr>
      <t xml:space="preserve">肤见未来实验室</t>
    </r>
  </si>
  <si>
    <r>
      <rPr>
        <sz val="10"/>
        <rFont val="Arial"/>
        <family val="0"/>
        <charset val="1"/>
      </rPr>
      <t xml:space="preserve">HAUTEBIO </t>
    </r>
    <r>
      <rPr>
        <sz val="10"/>
        <rFont val="WenQuanYi Zen Hei"/>
        <family val="2"/>
      </rPr>
      <t xml:space="preserve">慧柏研究院</t>
    </r>
  </si>
  <si>
    <t xml:space="preserve">Название похоже на исследовательский институт — уточнить на стенде</t>
  </si>
  <si>
    <t xml:space="preserve">植美馥予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</si>
</sst>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www.biotruly.com/" TargetMode="External"/><Relationship Id="rId4" Type="http://schemas.openxmlformats.org/officeDocument/2006/relationships/hyperlink" Target="https://www.biotruly.com/zh-CN/project" TargetMode="External"/><Relationship Id="rId5" Type="http://schemas.openxmlformats.org/officeDocument/2006/relationships/hyperlink" Target="https://en.chandogroup.com/" TargetMode="External"/><Relationship Id="rId6" Type="http://schemas.openxmlformats.org/officeDocument/2006/relationships/hyperlink" Target="https://www.eury-packaging.com/" TargetMode="External"/><Relationship Id="rId7" Type="http://schemas.openxmlformats.org/officeDocument/2006/relationships/hyperlink" Target="https://www.kava.cn/" TargetMode="External"/><Relationship Id="rId8" Type="http://schemas.openxmlformats.org/officeDocument/2006/relationships/hyperlink" Target="https://www.lamerbeauty.uk/" TargetMode="External"/><Relationship Id="rId9" Type="http://schemas.openxmlformats.org/officeDocument/2006/relationships/hyperlink" Target="https://www.oright.com.tw/" TargetMode="External"/><Relationship Id="rId10" Type="http://schemas.openxmlformats.org/officeDocument/2006/relationships/hyperlink" Target="https://www.aircospascual-anjac.com/" TargetMode="External"/><Relationship Id="rId11" Type="http://schemas.openxmlformats.org/officeDocument/2006/relationships/hyperlink" Target="https://www.cosinus-servicosm.com/" TargetMode="External"/><Relationship Id="rId12" Type="http://schemas.openxmlformats.org/officeDocument/2006/relationships/hyperlink" Target="https://www.desjardin.fr/" TargetMode="External"/><Relationship Id="rId13" Type="http://schemas.openxmlformats.org/officeDocument/2006/relationships/hyperlink" Target="https://www.desjardin.fr/en/categories/cosmetic-packaging" TargetMode="External"/><Relationship Id="rId14" Type="http://schemas.openxmlformats.org/officeDocument/2006/relationships/hyperlink" Target="https://www.effervescence-lab.com/" TargetMode="External"/><Relationship Id="rId15" Type="http://schemas.openxmlformats.org/officeDocument/2006/relationships/hyperlink" Target="https://www.laboratoiresbea.com/" TargetMode="External"/><Relationship Id="rId16" Type="http://schemas.openxmlformats.org/officeDocument/2006/relationships/hyperlink" Target="https://www.msbeautilab.com/" TargetMode="External"/><Relationship Id="rId17" Type="http://schemas.openxmlformats.org/officeDocument/2006/relationships/hyperlink" Target="https://simah-cosmetiques.fr/" TargetMode="External"/><Relationship Id="rId18" Type="http://schemas.openxmlformats.org/officeDocument/2006/relationships/hyperlink" Target="https://welcon.kocca.kr/en/directory/company/cosplan-inc--5601" TargetMode="External"/><Relationship Id="rId19" Type="http://schemas.openxmlformats.org/officeDocument/2006/relationships/hyperlink" Target="https://iwasecosfa.eu/" TargetMode="External"/><Relationship Id="rId20" Type="http://schemas.openxmlformats.org/officeDocument/2006/relationships/hyperlink" Target="https://iwasecosfa-eu.covalo.com/" TargetMode="External"/><Relationship Id="rId2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117.9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4" t="s">
        <v>49</v>
      </c>
      <c r="H3" s="4" t="s">
        <v>50</v>
      </c>
      <c r="I3" s="2" t="s">
        <v>51</v>
      </c>
      <c r="J3" s="2"/>
      <c r="K3" s="2"/>
      <c r="L3" s="2"/>
      <c r="M3" s="2"/>
      <c r="N3" s="2"/>
      <c r="O3" s="2" t="s">
        <v>52</v>
      </c>
      <c r="P3" s="2" t="s">
        <v>53</v>
      </c>
      <c r="Q3" s="2" t="s">
        <v>54</v>
      </c>
      <c r="R3" s="2" t="s">
        <v>55</v>
      </c>
      <c r="S3" s="2" t="s">
        <v>56</v>
      </c>
      <c r="T3" s="2" t="s">
        <v>57</v>
      </c>
      <c r="U3" s="2" t="s">
        <v>58</v>
      </c>
      <c r="V3" s="2" t="s">
        <v>42</v>
      </c>
      <c r="W3" s="2" t="s">
        <v>59</v>
      </c>
    </row>
    <row r="4" customFormat="false" ht="103.7" hidden="false" customHeight="false" outlineLevel="0" collapsed="false">
      <c r="A4" s="2" t="n">
        <v>3</v>
      </c>
      <c r="B4" s="3" t="s">
        <v>44</v>
      </c>
      <c r="C4" s="2" t="s">
        <v>60</v>
      </c>
      <c r="D4" s="2" t="s">
        <v>61</v>
      </c>
      <c r="E4" s="2" t="s">
        <v>62</v>
      </c>
      <c r="F4" s="2" t="s">
        <v>63</v>
      </c>
      <c r="G4" s="4" t="s">
        <v>64</v>
      </c>
      <c r="H4" s="2"/>
      <c r="I4" s="2" t="s">
        <v>65</v>
      </c>
      <c r="J4" s="2"/>
      <c r="K4" s="2"/>
      <c r="L4" s="2"/>
      <c r="M4" s="2"/>
      <c r="N4" s="2"/>
      <c r="O4" s="2" t="s">
        <v>66</v>
      </c>
      <c r="P4" s="2" t="s">
        <v>67</v>
      </c>
      <c r="Q4" s="2"/>
      <c r="R4" s="2" t="s">
        <v>68</v>
      </c>
      <c r="S4" s="2" t="s">
        <v>69</v>
      </c>
      <c r="T4" s="2" t="s">
        <v>70</v>
      </c>
      <c r="U4" s="2"/>
      <c r="V4" s="2" t="s">
        <v>42</v>
      </c>
      <c r="W4" s="2" t="s">
        <v>71</v>
      </c>
    </row>
    <row r="5" customFormat="false" ht="135.8" hidden="false" customHeight="false" outlineLevel="0" collapsed="false">
      <c r="A5" s="2" t="n">
        <v>4</v>
      </c>
      <c r="B5" s="3" t="s">
        <v>44</v>
      </c>
      <c r="C5" s="2" t="s">
        <v>72</v>
      </c>
      <c r="D5" s="2" t="s">
        <v>73</v>
      </c>
      <c r="E5" s="2" t="s">
        <v>74</v>
      </c>
      <c r="F5" s="2" t="s">
        <v>75</v>
      </c>
      <c r="G5" s="2"/>
      <c r="H5" s="2"/>
      <c r="I5" s="2" t="s">
        <v>76</v>
      </c>
      <c r="J5" s="2" t="s">
        <v>77</v>
      </c>
      <c r="K5" s="2"/>
      <c r="L5" s="2"/>
      <c r="M5" s="2"/>
      <c r="N5" s="2" t="s">
        <v>78</v>
      </c>
      <c r="O5" s="2" t="s">
        <v>79</v>
      </c>
      <c r="P5" s="2" t="s">
        <v>80</v>
      </c>
      <c r="Q5" s="2" t="s">
        <v>81</v>
      </c>
      <c r="R5" s="2" t="s">
        <v>82</v>
      </c>
      <c r="S5" s="2" t="s">
        <v>83</v>
      </c>
      <c r="T5" s="2" t="s">
        <v>84</v>
      </c>
      <c r="U5" s="2" t="s">
        <v>58</v>
      </c>
      <c r="V5" s="2" t="s">
        <v>42</v>
      </c>
      <c r="W5" s="2" t="s">
        <v>85</v>
      </c>
    </row>
    <row r="6" customFormat="false" ht="79.85" hidden="false" customHeight="false" outlineLevel="0" collapsed="false">
      <c r="A6" s="2" t="n">
        <v>5</v>
      </c>
      <c r="B6" s="3" t="s">
        <v>44</v>
      </c>
      <c r="C6" s="2" t="s">
        <v>72</v>
      </c>
      <c r="D6" s="2" t="s">
        <v>86</v>
      </c>
      <c r="E6" s="2" t="s">
        <v>87</v>
      </c>
      <c r="F6" s="2" t="s">
        <v>27</v>
      </c>
      <c r="G6" s="4" t="s">
        <v>88</v>
      </c>
      <c r="H6" s="2"/>
      <c r="I6" s="2" t="s">
        <v>89</v>
      </c>
      <c r="J6" s="2" t="s">
        <v>90</v>
      </c>
      <c r="K6" s="2"/>
      <c r="L6" s="2" t="s">
        <v>91</v>
      </c>
      <c r="M6" s="2" t="s">
        <v>92</v>
      </c>
      <c r="N6" s="2" t="s">
        <v>93</v>
      </c>
      <c r="O6" s="2" t="s">
        <v>94</v>
      </c>
      <c r="P6" s="2" t="s">
        <v>95</v>
      </c>
      <c r="Q6" s="2" t="s">
        <v>96</v>
      </c>
      <c r="R6" s="2" t="s">
        <v>97</v>
      </c>
      <c r="S6" s="2" t="s">
        <v>98</v>
      </c>
      <c r="T6" s="2" t="s">
        <v>99</v>
      </c>
      <c r="U6" s="2" t="s">
        <v>58</v>
      </c>
      <c r="V6" s="2" t="s">
        <v>42</v>
      </c>
      <c r="W6" s="2" t="s">
        <v>100</v>
      </c>
    </row>
    <row r="7" customFormat="false" ht="57.45" hidden="false" customHeight="false" outlineLevel="0" collapsed="false">
      <c r="A7" s="2" t="n">
        <v>6</v>
      </c>
      <c r="B7" s="3" t="s">
        <v>44</v>
      </c>
      <c r="C7" s="2" t="s">
        <v>72</v>
      </c>
      <c r="D7" s="2" t="s">
        <v>101</v>
      </c>
      <c r="E7" s="2" t="s">
        <v>102</v>
      </c>
      <c r="F7" s="2"/>
      <c r="G7" s="4" t="s">
        <v>103</v>
      </c>
      <c r="H7" s="2"/>
      <c r="I7" s="2" t="s">
        <v>104</v>
      </c>
      <c r="J7" s="2" t="s">
        <v>105</v>
      </c>
      <c r="K7" s="2" t="s">
        <v>106</v>
      </c>
      <c r="L7" s="2" t="s">
        <v>107</v>
      </c>
      <c r="M7" s="2" t="s">
        <v>108</v>
      </c>
      <c r="N7" s="2"/>
      <c r="O7" s="2" t="s">
        <v>109</v>
      </c>
      <c r="P7" s="2" t="s">
        <v>110</v>
      </c>
      <c r="Q7" s="2" t="s">
        <v>111</v>
      </c>
      <c r="R7" s="2" t="s">
        <v>112</v>
      </c>
      <c r="S7" s="2" t="s">
        <v>113</v>
      </c>
      <c r="T7" s="2" t="s">
        <v>114</v>
      </c>
      <c r="U7" s="2" t="s">
        <v>58</v>
      </c>
      <c r="V7" s="2" t="s">
        <v>42</v>
      </c>
      <c r="W7" s="2" t="s">
        <v>115</v>
      </c>
    </row>
    <row r="8" customFormat="false" ht="79.85" hidden="false" customHeight="false" outlineLevel="0" collapsed="false">
      <c r="A8" s="2" t="n">
        <v>7</v>
      </c>
      <c r="B8" s="3" t="s">
        <v>44</v>
      </c>
      <c r="C8" s="2" t="s">
        <v>45</v>
      </c>
      <c r="D8" s="2" t="s">
        <v>116</v>
      </c>
      <c r="E8" s="2" t="s">
        <v>117</v>
      </c>
      <c r="F8" s="2" t="s">
        <v>118</v>
      </c>
      <c r="G8" s="4" t="s">
        <v>119</v>
      </c>
      <c r="H8" s="2"/>
      <c r="I8" s="2" t="s">
        <v>120</v>
      </c>
      <c r="J8" s="2" t="s">
        <v>121</v>
      </c>
      <c r="K8" s="2"/>
      <c r="L8" s="2" t="s">
        <v>122</v>
      </c>
      <c r="M8" s="2" t="s">
        <v>123</v>
      </c>
      <c r="N8" s="2" t="s">
        <v>124</v>
      </c>
      <c r="O8" s="2" t="s">
        <v>125</v>
      </c>
      <c r="P8" s="2" t="s">
        <v>36</v>
      </c>
      <c r="Q8" s="2" t="s">
        <v>126</v>
      </c>
      <c r="R8" s="2" t="s">
        <v>127</v>
      </c>
      <c r="S8" s="2" t="s">
        <v>128</v>
      </c>
      <c r="T8" s="2" t="s">
        <v>129</v>
      </c>
      <c r="U8" s="2"/>
      <c r="V8" s="2" t="s">
        <v>42</v>
      </c>
      <c r="W8" s="2" t="s">
        <v>130</v>
      </c>
    </row>
    <row r="9" customFormat="false" ht="91" hidden="false" customHeight="false" outlineLevel="0" collapsed="false">
      <c r="A9" s="2" t="n">
        <v>8</v>
      </c>
      <c r="B9" s="3" t="s">
        <v>131</v>
      </c>
      <c r="C9" s="2" t="s">
        <v>132</v>
      </c>
      <c r="D9" s="2" t="s">
        <v>133</v>
      </c>
      <c r="E9" s="2" t="s">
        <v>134</v>
      </c>
      <c r="F9" s="2" t="s">
        <v>135</v>
      </c>
      <c r="G9" s="4" t="s">
        <v>136</v>
      </c>
      <c r="H9" s="2"/>
      <c r="I9" s="2" t="s">
        <v>137</v>
      </c>
      <c r="J9" s="2"/>
      <c r="K9" s="2"/>
      <c r="L9" s="2"/>
      <c r="M9" s="2"/>
      <c r="N9" s="2"/>
      <c r="O9" s="2" t="s">
        <v>131</v>
      </c>
      <c r="P9" s="2" t="s">
        <v>67</v>
      </c>
      <c r="Q9" s="2" t="s">
        <v>138</v>
      </c>
      <c r="R9" s="2" t="s">
        <v>139</v>
      </c>
      <c r="S9" s="2" t="s">
        <v>140</v>
      </c>
      <c r="T9" s="2" t="s">
        <v>141</v>
      </c>
      <c r="U9" s="2"/>
      <c r="V9" s="2" t="s">
        <v>42</v>
      </c>
      <c r="W9" s="2" t="s">
        <v>142</v>
      </c>
    </row>
    <row r="10" customFormat="false" ht="202.95" hidden="false" customHeight="false" outlineLevel="0" collapsed="false">
      <c r="A10" s="2" t="n">
        <v>9</v>
      </c>
      <c r="B10" s="3" t="s">
        <v>143</v>
      </c>
      <c r="C10" s="2" t="s">
        <v>45</v>
      </c>
      <c r="D10" s="2" t="s">
        <v>144</v>
      </c>
      <c r="E10" s="2" t="s">
        <v>145</v>
      </c>
      <c r="F10" s="2" t="s">
        <v>146</v>
      </c>
      <c r="G10" s="4" t="s">
        <v>147</v>
      </c>
      <c r="H10" s="2"/>
      <c r="I10" s="2" t="s">
        <v>148</v>
      </c>
      <c r="J10" s="2" t="s">
        <v>149</v>
      </c>
      <c r="K10" s="2"/>
      <c r="L10" s="2" t="s">
        <v>150</v>
      </c>
      <c r="M10" s="2" t="s">
        <v>151</v>
      </c>
      <c r="N10" s="2" t="s">
        <v>152</v>
      </c>
      <c r="O10" s="2" t="s">
        <v>153</v>
      </c>
      <c r="P10" s="2" t="s">
        <v>154</v>
      </c>
      <c r="Q10" s="2" t="s">
        <v>155</v>
      </c>
      <c r="R10" s="2" t="s">
        <v>156</v>
      </c>
      <c r="S10" s="2" t="s">
        <v>157</v>
      </c>
      <c r="T10" s="2" t="s">
        <v>158</v>
      </c>
      <c r="U10" s="2" t="s">
        <v>58</v>
      </c>
      <c r="V10" s="2" t="s">
        <v>42</v>
      </c>
      <c r="W10" s="2" t="s">
        <v>159</v>
      </c>
    </row>
    <row r="11" customFormat="false" ht="57.45" hidden="false" customHeight="false" outlineLevel="0" collapsed="false">
      <c r="A11" s="2" t="n">
        <v>10</v>
      </c>
      <c r="B11" s="3" t="s">
        <v>143</v>
      </c>
      <c r="C11" s="2" t="s">
        <v>45</v>
      </c>
      <c r="D11" s="2" t="s">
        <v>160</v>
      </c>
      <c r="E11" s="2" t="s">
        <v>161</v>
      </c>
      <c r="F11" s="2" t="s">
        <v>27</v>
      </c>
      <c r="G11" s="4" t="s">
        <v>162</v>
      </c>
      <c r="H11" s="2"/>
      <c r="I11" s="2" t="s">
        <v>163</v>
      </c>
      <c r="J11" s="2" t="s">
        <v>164</v>
      </c>
      <c r="K11" s="2"/>
      <c r="L11" s="2" t="s">
        <v>165</v>
      </c>
      <c r="M11" s="2" t="s">
        <v>166</v>
      </c>
      <c r="N11" s="2" t="s">
        <v>167</v>
      </c>
      <c r="O11" s="2" t="s">
        <v>168</v>
      </c>
      <c r="P11" s="2" t="s">
        <v>169</v>
      </c>
      <c r="Q11" s="2" t="s">
        <v>170</v>
      </c>
      <c r="R11" s="2" t="s">
        <v>171</v>
      </c>
      <c r="S11" s="2" t="s">
        <v>172</v>
      </c>
      <c r="T11" s="2" t="s">
        <v>173</v>
      </c>
      <c r="U11" s="2" t="s">
        <v>58</v>
      </c>
      <c r="V11" s="2" t="s">
        <v>42</v>
      </c>
      <c r="W11" s="2" t="s">
        <v>174</v>
      </c>
    </row>
    <row r="12" customFormat="false" ht="102.2" hidden="false" customHeight="false" outlineLevel="0" collapsed="false">
      <c r="A12" s="2" t="n">
        <v>11</v>
      </c>
      <c r="B12" s="3" t="s">
        <v>143</v>
      </c>
      <c r="C12" s="2" t="s">
        <v>72</v>
      </c>
      <c r="D12" s="2" t="s">
        <v>175</v>
      </c>
      <c r="E12" s="2" t="s">
        <v>176</v>
      </c>
      <c r="F12" s="2" t="s">
        <v>27</v>
      </c>
      <c r="G12" s="4" t="s">
        <v>177</v>
      </c>
      <c r="H12" s="4" t="s">
        <v>178</v>
      </c>
      <c r="I12" s="2" t="s">
        <v>179</v>
      </c>
      <c r="J12" s="2"/>
      <c r="K12" s="2"/>
      <c r="L12" s="2"/>
      <c r="M12" s="2" t="s">
        <v>180</v>
      </c>
      <c r="N12" s="2"/>
      <c r="O12" s="2" t="s">
        <v>181</v>
      </c>
      <c r="P12" s="2" t="s">
        <v>67</v>
      </c>
      <c r="Q12" s="2"/>
      <c r="R12" s="2" t="s">
        <v>182</v>
      </c>
      <c r="S12" s="2" t="s">
        <v>183</v>
      </c>
      <c r="T12" s="2" t="s">
        <v>184</v>
      </c>
      <c r="U12" s="2"/>
      <c r="V12" s="2" t="s">
        <v>42</v>
      </c>
      <c r="W12" s="2" t="s">
        <v>185</v>
      </c>
    </row>
    <row r="13" customFormat="false" ht="102.2" hidden="false" customHeight="false" outlineLevel="0" collapsed="false">
      <c r="A13" s="2" t="n">
        <v>12</v>
      </c>
      <c r="B13" s="3" t="s">
        <v>143</v>
      </c>
      <c r="C13" s="2" t="s">
        <v>186</v>
      </c>
      <c r="D13" s="2" t="s">
        <v>187</v>
      </c>
      <c r="E13" s="2" t="s">
        <v>188</v>
      </c>
      <c r="F13" s="2" t="s">
        <v>189</v>
      </c>
      <c r="G13" s="4" t="s">
        <v>190</v>
      </c>
      <c r="H13" s="2"/>
      <c r="I13" s="2" t="s">
        <v>191</v>
      </c>
      <c r="J13" s="2"/>
      <c r="K13" s="2"/>
      <c r="L13" s="2"/>
      <c r="M13" s="2" t="s">
        <v>192</v>
      </c>
      <c r="N13" s="2" t="s">
        <v>193</v>
      </c>
      <c r="O13" s="2" t="s">
        <v>194</v>
      </c>
      <c r="P13" s="2" t="s">
        <v>195</v>
      </c>
      <c r="Q13" s="2" t="s">
        <v>196</v>
      </c>
      <c r="R13" s="2" t="s">
        <v>197</v>
      </c>
      <c r="S13" s="2" t="s">
        <v>198</v>
      </c>
      <c r="T13" s="2" t="s">
        <v>199</v>
      </c>
      <c r="U13" s="2"/>
      <c r="V13" s="2" t="s">
        <v>42</v>
      </c>
      <c r="W13" s="2" t="s">
        <v>200</v>
      </c>
    </row>
    <row r="14" customFormat="false" ht="180.55" hidden="false" customHeight="false" outlineLevel="0" collapsed="false">
      <c r="A14" s="2" t="n">
        <v>13</v>
      </c>
      <c r="B14" s="3" t="s">
        <v>143</v>
      </c>
      <c r="C14" s="2" t="s">
        <v>60</v>
      </c>
      <c r="D14" s="2" t="s">
        <v>201</v>
      </c>
      <c r="E14" s="2" t="s">
        <v>202</v>
      </c>
      <c r="F14" s="2" t="s">
        <v>203</v>
      </c>
      <c r="G14" s="2"/>
      <c r="H14" s="2"/>
      <c r="I14" s="2" t="s">
        <v>204</v>
      </c>
      <c r="J14" s="2"/>
      <c r="K14" s="2"/>
      <c r="L14" s="2"/>
      <c r="M14" s="2"/>
      <c r="N14" s="2"/>
      <c r="O14" s="2" t="s">
        <v>205</v>
      </c>
      <c r="P14" s="2" t="s">
        <v>206</v>
      </c>
      <c r="Q14" s="2"/>
      <c r="R14" s="2" t="s">
        <v>207</v>
      </c>
      <c r="S14" s="2" t="s">
        <v>208</v>
      </c>
      <c r="T14" s="2" t="s">
        <v>209</v>
      </c>
      <c r="U14" s="2"/>
      <c r="V14" s="2" t="s">
        <v>42</v>
      </c>
      <c r="W14" s="2" t="s">
        <v>210</v>
      </c>
    </row>
    <row r="15" customFormat="false" ht="158.2" hidden="false" customHeight="false" outlineLevel="0" collapsed="false">
      <c r="A15" s="2" t="n">
        <v>14</v>
      </c>
      <c r="B15" s="3" t="s">
        <v>143</v>
      </c>
      <c r="C15" s="2" t="s">
        <v>45</v>
      </c>
      <c r="D15" s="2" t="s">
        <v>211</v>
      </c>
      <c r="E15" s="2" t="s">
        <v>212</v>
      </c>
      <c r="F15" s="2" t="s">
        <v>213</v>
      </c>
      <c r="G15" s="2"/>
      <c r="H15" s="2"/>
      <c r="I15" s="2" t="s">
        <v>214</v>
      </c>
      <c r="J15" s="2"/>
      <c r="K15" s="2"/>
      <c r="L15" s="2"/>
      <c r="M15" s="2"/>
      <c r="N15" s="2"/>
      <c r="O15" s="2" t="s">
        <v>143</v>
      </c>
      <c r="P15" s="2" t="s">
        <v>67</v>
      </c>
      <c r="Q15" s="2" t="s">
        <v>215</v>
      </c>
      <c r="R15" s="2" t="s">
        <v>216</v>
      </c>
      <c r="S15" s="2" t="s">
        <v>217</v>
      </c>
      <c r="T15" s="2" t="s">
        <v>218</v>
      </c>
      <c r="U15" s="2" t="s">
        <v>219</v>
      </c>
      <c r="V15" s="2" t="s">
        <v>42</v>
      </c>
      <c r="W15" s="2" t="s">
        <v>220</v>
      </c>
    </row>
    <row r="16" customFormat="false" ht="147" hidden="false" customHeight="false" outlineLevel="0" collapsed="false">
      <c r="A16" s="2" t="n">
        <v>15</v>
      </c>
      <c r="B16" s="3" t="s">
        <v>143</v>
      </c>
      <c r="C16" s="2" t="s">
        <v>45</v>
      </c>
      <c r="D16" s="2" t="s">
        <v>221</v>
      </c>
      <c r="E16" s="2" t="s">
        <v>222</v>
      </c>
      <c r="F16" s="2" t="s">
        <v>27</v>
      </c>
      <c r="G16" s="4" t="s">
        <v>223</v>
      </c>
      <c r="H16" s="2"/>
      <c r="I16" s="2" t="s">
        <v>224</v>
      </c>
      <c r="J16" s="2" t="s">
        <v>225</v>
      </c>
      <c r="K16" s="2"/>
      <c r="L16" s="2" t="s">
        <v>226</v>
      </c>
      <c r="M16" s="2" t="s">
        <v>227</v>
      </c>
      <c r="N16" s="2" t="s">
        <v>228</v>
      </c>
      <c r="O16" s="2" t="s">
        <v>229</v>
      </c>
      <c r="P16" s="2" t="s">
        <v>230</v>
      </c>
      <c r="Q16" s="2" t="s">
        <v>231</v>
      </c>
      <c r="R16" s="2" t="s">
        <v>232</v>
      </c>
      <c r="S16" s="2" t="s">
        <v>233</v>
      </c>
      <c r="T16" s="2" t="s">
        <v>234</v>
      </c>
      <c r="U16" s="2"/>
      <c r="V16" s="2" t="s">
        <v>42</v>
      </c>
      <c r="W16" s="2" t="s">
        <v>235</v>
      </c>
    </row>
    <row r="17" customFormat="false" ht="158.2" hidden="false" customHeight="false" outlineLevel="0" collapsed="false">
      <c r="A17" s="2" t="n">
        <v>16</v>
      </c>
      <c r="B17" s="3" t="s">
        <v>143</v>
      </c>
      <c r="C17" s="2" t="s">
        <v>45</v>
      </c>
      <c r="D17" s="2" t="s">
        <v>236</v>
      </c>
      <c r="E17" s="2" t="s">
        <v>237</v>
      </c>
      <c r="F17" s="2" t="s">
        <v>238</v>
      </c>
      <c r="G17" s="2" t="s">
        <v>239</v>
      </c>
      <c r="H17" s="2"/>
      <c r="I17" s="2" t="s">
        <v>240</v>
      </c>
      <c r="J17" s="2"/>
      <c r="K17" s="2"/>
      <c r="L17" s="2"/>
      <c r="M17" s="2"/>
      <c r="N17" s="2"/>
      <c r="O17" s="2" t="s">
        <v>241</v>
      </c>
      <c r="P17" s="2" t="s">
        <v>242</v>
      </c>
      <c r="Q17" s="2"/>
      <c r="R17" s="2" t="s">
        <v>243</v>
      </c>
      <c r="S17" s="2" t="s">
        <v>244</v>
      </c>
      <c r="T17" s="2" t="s">
        <v>245</v>
      </c>
      <c r="U17" s="2"/>
      <c r="V17" s="2" t="s">
        <v>42</v>
      </c>
      <c r="W17" s="2" t="s">
        <v>246</v>
      </c>
    </row>
    <row r="18" customFormat="false" ht="102.2" hidden="false" customHeight="false" outlineLevel="0" collapsed="false">
      <c r="A18" s="2" t="n">
        <v>17</v>
      </c>
      <c r="B18" s="3" t="s">
        <v>143</v>
      </c>
      <c r="C18" s="2" t="s">
        <v>45</v>
      </c>
      <c r="D18" s="2" t="s">
        <v>247</v>
      </c>
      <c r="E18" s="2" t="s">
        <v>248</v>
      </c>
      <c r="F18" s="2" t="s">
        <v>249</v>
      </c>
      <c r="G18" s="4" t="s">
        <v>250</v>
      </c>
      <c r="H18" s="2"/>
      <c r="I18" s="2" t="s">
        <v>251</v>
      </c>
      <c r="J18" s="2" t="s">
        <v>252</v>
      </c>
      <c r="K18" s="2"/>
      <c r="L18" s="2" t="s">
        <v>253</v>
      </c>
      <c r="M18" s="2" t="s">
        <v>254</v>
      </c>
      <c r="N18" s="2" t="s">
        <v>255</v>
      </c>
      <c r="O18" s="2" t="s">
        <v>256</v>
      </c>
      <c r="P18" s="2" t="s">
        <v>257</v>
      </c>
      <c r="Q18" s="2" t="s">
        <v>258</v>
      </c>
      <c r="R18" s="2" t="s">
        <v>259</v>
      </c>
      <c r="S18" s="2" t="s">
        <v>260</v>
      </c>
      <c r="T18" s="2" t="s">
        <v>261</v>
      </c>
      <c r="U18" s="2" t="s">
        <v>58</v>
      </c>
      <c r="V18" s="2" t="s">
        <v>42</v>
      </c>
      <c r="W18" s="2" t="s">
        <v>262</v>
      </c>
    </row>
    <row r="19" customFormat="false" ht="180.55" hidden="false" customHeight="false" outlineLevel="0" collapsed="false">
      <c r="A19" s="2" t="n">
        <v>18</v>
      </c>
      <c r="B19" s="3" t="s">
        <v>143</v>
      </c>
      <c r="C19" s="2" t="s">
        <v>45</v>
      </c>
      <c r="D19" s="2" t="s">
        <v>263</v>
      </c>
      <c r="E19" s="2" t="s">
        <v>264</v>
      </c>
      <c r="F19" s="2" t="s">
        <v>265</v>
      </c>
      <c r="G19" s="2"/>
      <c r="H19" s="2"/>
      <c r="I19" s="2" t="s">
        <v>266</v>
      </c>
      <c r="J19" s="2"/>
      <c r="K19" s="2"/>
      <c r="L19" s="2"/>
      <c r="M19" s="2"/>
      <c r="N19" s="2"/>
      <c r="O19" s="2" t="s">
        <v>143</v>
      </c>
      <c r="P19" s="2" t="s">
        <v>67</v>
      </c>
      <c r="Q19" s="2" t="s">
        <v>267</v>
      </c>
      <c r="R19" s="2" t="s">
        <v>268</v>
      </c>
      <c r="S19" s="2" t="s">
        <v>269</v>
      </c>
      <c r="T19" s="2" t="s">
        <v>270</v>
      </c>
      <c r="U19" s="2" t="s">
        <v>58</v>
      </c>
      <c r="V19" s="2" t="s">
        <v>42</v>
      </c>
      <c r="W19" s="2" t="s">
        <v>271</v>
      </c>
    </row>
    <row r="20" customFormat="false" ht="158.2" hidden="false" customHeight="false" outlineLevel="0" collapsed="false">
      <c r="A20" s="2" t="n">
        <v>19</v>
      </c>
      <c r="B20" s="3" t="s">
        <v>143</v>
      </c>
      <c r="C20" s="2" t="s">
        <v>45</v>
      </c>
      <c r="D20" s="2" t="s">
        <v>272</v>
      </c>
      <c r="E20" s="2" t="s">
        <v>273</v>
      </c>
      <c r="F20" s="2" t="s">
        <v>27</v>
      </c>
      <c r="G20" s="4" t="s">
        <v>274</v>
      </c>
      <c r="H20" s="2"/>
      <c r="I20" s="2" t="s">
        <v>275</v>
      </c>
      <c r="J20" s="2"/>
      <c r="K20" s="2"/>
      <c r="L20" s="2"/>
      <c r="M20" s="2"/>
      <c r="N20" s="2"/>
      <c r="O20" s="2" t="s">
        <v>276</v>
      </c>
      <c r="P20" s="2" t="s">
        <v>277</v>
      </c>
      <c r="Q20" s="2"/>
      <c r="R20" s="2" t="s">
        <v>278</v>
      </c>
      <c r="S20" s="2" t="s">
        <v>279</v>
      </c>
      <c r="T20" s="2" t="s">
        <v>280</v>
      </c>
      <c r="U20" s="2"/>
      <c r="V20" s="2" t="s">
        <v>42</v>
      </c>
      <c r="W20" s="2" t="s">
        <v>281</v>
      </c>
    </row>
    <row r="21" customFormat="false" ht="158.2" hidden="false" customHeight="false" outlineLevel="0" collapsed="false">
      <c r="A21" s="2" t="n">
        <v>20</v>
      </c>
      <c r="B21" s="3" t="s">
        <v>143</v>
      </c>
      <c r="C21" s="2" t="s">
        <v>45</v>
      </c>
      <c r="D21" s="2" t="s">
        <v>282</v>
      </c>
      <c r="E21" s="2" t="s">
        <v>283</v>
      </c>
      <c r="F21" s="2" t="s">
        <v>284</v>
      </c>
      <c r="G21" s="2" t="s">
        <v>285</v>
      </c>
      <c r="H21" s="2"/>
      <c r="I21" s="2" t="s">
        <v>286</v>
      </c>
      <c r="J21" s="2"/>
      <c r="K21" s="2"/>
      <c r="L21" s="2"/>
      <c r="M21" s="2"/>
      <c r="N21" s="2"/>
      <c r="O21" s="2" t="s">
        <v>287</v>
      </c>
      <c r="P21" s="2" t="s">
        <v>288</v>
      </c>
      <c r="Q21" s="2" t="s">
        <v>289</v>
      </c>
      <c r="R21" s="2" t="s">
        <v>290</v>
      </c>
      <c r="S21" s="2" t="s">
        <v>291</v>
      </c>
      <c r="T21" s="2" t="s">
        <v>292</v>
      </c>
      <c r="U21" s="2"/>
      <c r="V21" s="2" t="s">
        <v>42</v>
      </c>
      <c r="W21" s="2" t="s">
        <v>293</v>
      </c>
    </row>
    <row r="22" customFormat="false" ht="124.6" hidden="false" customHeight="false" outlineLevel="0" collapsed="false">
      <c r="A22" s="2" t="n">
        <v>21</v>
      </c>
      <c r="B22" s="3" t="s">
        <v>294</v>
      </c>
      <c r="C22" s="2" t="s">
        <v>45</v>
      </c>
      <c r="D22" s="2" t="s">
        <v>295</v>
      </c>
      <c r="E22" s="2" t="s">
        <v>296</v>
      </c>
      <c r="F22" s="2" t="s">
        <v>297</v>
      </c>
      <c r="G22" s="2"/>
      <c r="H22" s="4" t="s">
        <v>298</v>
      </c>
      <c r="I22" s="2" t="s">
        <v>299</v>
      </c>
      <c r="J22" s="2"/>
      <c r="K22" s="2"/>
      <c r="L22" s="2" t="s">
        <v>300</v>
      </c>
      <c r="M22" s="2"/>
      <c r="N22" s="2"/>
      <c r="O22" s="2" t="s">
        <v>301</v>
      </c>
      <c r="P22" s="2" t="s">
        <v>67</v>
      </c>
      <c r="Q22" s="2" t="s">
        <v>302</v>
      </c>
      <c r="R22" s="2" t="s">
        <v>303</v>
      </c>
      <c r="S22" s="2" t="s">
        <v>304</v>
      </c>
      <c r="T22" s="2" t="s">
        <v>305</v>
      </c>
      <c r="U22" s="2"/>
      <c r="V22" s="2" t="s">
        <v>42</v>
      </c>
      <c r="W22" s="2" t="s">
        <v>306</v>
      </c>
    </row>
    <row r="23" customFormat="false" ht="102.2" hidden="false" customHeight="false" outlineLevel="0" collapsed="false">
      <c r="A23" s="2" t="n">
        <v>22</v>
      </c>
      <c r="B23" s="3" t="s">
        <v>294</v>
      </c>
      <c r="C23" s="2" t="s">
        <v>45</v>
      </c>
      <c r="D23" s="2"/>
      <c r="E23" s="2" t="s">
        <v>307</v>
      </c>
      <c r="F23" s="2" t="s">
        <v>308</v>
      </c>
      <c r="G23" s="2"/>
      <c r="H23" s="2"/>
      <c r="I23" s="2" t="s">
        <v>309</v>
      </c>
      <c r="J23" s="2"/>
      <c r="K23" s="2"/>
      <c r="L23" s="2"/>
      <c r="M23" s="2"/>
      <c r="N23" s="2"/>
      <c r="O23" s="2"/>
      <c r="P23" s="2" t="s">
        <v>67</v>
      </c>
      <c r="Q23" s="2" t="s">
        <v>310</v>
      </c>
      <c r="R23" s="2" t="s">
        <v>311</v>
      </c>
      <c r="S23" s="2" t="s">
        <v>312</v>
      </c>
      <c r="T23" s="2" t="s">
        <v>313</v>
      </c>
      <c r="U23" s="2"/>
      <c r="V23" s="2" t="s">
        <v>42</v>
      </c>
      <c r="W23" s="2" t="s">
        <v>314</v>
      </c>
    </row>
    <row r="24" customFormat="false" ht="79.85" hidden="false" customHeight="false" outlineLevel="0" collapsed="false">
      <c r="A24" s="2" t="n">
        <v>23</v>
      </c>
      <c r="B24" s="3" t="s">
        <v>315</v>
      </c>
      <c r="C24" s="2" t="s">
        <v>60</v>
      </c>
      <c r="D24" s="2" t="s">
        <v>316</v>
      </c>
      <c r="E24" s="2" t="s">
        <v>317</v>
      </c>
      <c r="F24" s="2" t="s">
        <v>27</v>
      </c>
      <c r="G24" s="4" t="s">
        <v>318</v>
      </c>
      <c r="H24" s="4" t="s">
        <v>319</v>
      </c>
      <c r="I24" s="2" t="s">
        <v>320</v>
      </c>
      <c r="J24" s="2"/>
      <c r="K24" s="2"/>
      <c r="L24" s="2"/>
      <c r="M24" s="2"/>
      <c r="N24" s="2"/>
      <c r="O24" s="2" t="s">
        <v>321</v>
      </c>
      <c r="P24" s="2" t="s">
        <v>322</v>
      </c>
      <c r="Q24" s="2" t="s">
        <v>323</v>
      </c>
      <c r="R24" s="2" t="s">
        <v>324</v>
      </c>
      <c r="S24" s="2" t="s">
        <v>325</v>
      </c>
      <c r="T24" s="2" t="s">
        <v>326</v>
      </c>
      <c r="U24" s="2"/>
      <c r="V24" s="2" t="s">
        <v>42</v>
      </c>
      <c r="W24" s="2" t="s">
        <v>327</v>
      </c>
    </row>
  </sheetData>
  <autoFilter ref="A1:W24"/>
  <hyperlinks>
    <hyperlink ref="G2" r:id="rId1" display="https://www.dachser.fr"/>
    <hyperlink ref="H2" r:id="rId2" display="https://www.dachser.com/en/cosmetic-logistics"/>
    <hyperlink ref="G3" r:id="rId3" display="https://www.biotruly.com"/>
    <hyperlink ref="H3" r:id="rId4" display="https://www.biotruly.com/zh-CN/project"/>
    <hyperlink ref="G4" r:id="rId5" display="https://en.chandogroup.com"/>
    <hyperlink ref="G6" r:id="rId6" display="https://www.eury-packaging.com"/>
    <hyperlink ref="G7" r:id="rId7" display="www.kava.cn"/>
    <hyperlink ref="G8" r:id="rId8" display="www.lamerbeauty.uk ; www.rsgroup.cn"/>
    <hyperlink ref="G9" r:id="rId9" display="https://www.oright.com.tw"/>
    <hyperlink ref="G10" r:id="rId10" display="https://www.aircospascual-anjac.com"/>
    <hyperlink ref="G11" r:id="rId11" display="https://www.cosinus-servicosm.com"/>
    <hyperlink ref="G12" r:id="rId12" display="https://www.desjardin.fr"/>
    <hyperlink ref="H12" r:id="rId13" display="https://www.desjardin.fr/en/categories/cosmetic-packaging"/>
    <hyperlink ref="G13" r:id="rId14" display="www.effervescence-lab.com"/>
    <hyperlink ref="G16" r:id="rId15" display="https://www.laboratoiresbea.com"/>
    <hyperlink ref="G18" r:id="rId16" display="https://www.msbeautilab.com"/>
    <hyperlink ref="G20" r:id="rId17" display="https://simah-cosmetiques.fr"/>
    <hyperlink ref="H22" r:id="rId18" display="https://welcon.kocca.kr/en/directory/company/cosplan-inc--5601"/>
    <hyperlink ref="G24" r:id="rId19" display="https://iwasecosfa.eu"/>
    <hyperlink ref="H24" r:id="rId20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328</v>
      </c>
      <c r="C1" s="5" t="s">
        <v>329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COUNTIF(Контакты!$B$2:$B$24,A2)</f>
        <v>1</v>
      </c>
      <c r="C2" s="6" t="n">
        <f aca="false">COUNTIFS(Контакты!$B$2:$B$24,A2,Контакты!$U$2:$U$24,"Высокий")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COUNTIF(Контакты!$B$2:$B$24,A3)</f>
        <v>6</v>
      </c>
      <c r="C3" s="6" t="n">
        <f aca="false">COUNTIFS(Контакты!$B$2:$B$24,A3,Контакты!$U$2:$U$24,"Высокий")</f>
        <v>4</v>
      </c>
    </row>
    <row r="4" customFormat="false" ht="15" hidden="false" customHeight="false" outlineLevel="0" collapsed="false">
      <c r="A4" s="6" t="s">
        <v>131</v>
      </c>
      <c r="B4" s="6" t="n">
        <f aca="false">COUNTIF(Контакты!$B$2:$B$24,A4)</f>
        <v>1</v>
      </c>
      <c r="C4" s="6" t="n">
        <f aca="false">COUNTIFS(Контакты!$B$2:$B$24,A4,Контакты!$U$2:$U$24,"Высокий")</f>
        <v>0</v>
      </c>
    </row>
    <row r="5" customFormat="false" ht="15" hidden="false" customHeight="false" outlineLevel="0" collapsed="false">
      <c r="A5" s="6" t="s">
        <v>143</v>
      </c>
      <c r="B5" s="6" t="n">
        <f aca="false">COUNTIF(Контакты!$B$2:$B$24,A5)</f>
        <v>12</v>
      </c>
      <c r="C5" s="6" t="n">
        <f aca="false">COUNTIFS(Контакты!$B$2:$B$24,A5,Контакты!$U$2:$U$24,"Высокий")</f>
        <v>4</v>
      </c>
    </row>
    <row r="6" customFormat="false" ht="15" hidden="false" customHeight="false" outlineLevel="0" collapsed="false">
      <c r="A6" s="6" t="s">
        <v>294</v>
      </c>
      <c r="B6" s="6" t="n">
        <f aca="false">COUNTIF(Контакты!$B$2:$B$24,A6)</f>
        <v>2</v>
      </c>
      <c r="C6" s="6" t="n">
        <f aca="false">COUNTIFS(Контакты!$B$2:$B$24,A6,Контакты!$U$2:$U$24,"Высокий")</f>
        <v>0</v>
      </c>
    </row>
    <row r="7" customFormat="false" ht="15" hidden="false" customHeight="false" outlineLevel="0" collapsed="false">
      <c r="A7" s="6" t="s">
        <v>315</v>
      </c>
      <c r="B7" s="6" t="n">
        <f aca="false">COUNTIF(Контакты!$B$2:$B$24,A7)</f>
        <v>1</v>
      </c>
      <c r="C7" s="6" t="n">
        <f aca="false">COUNTIFS(Контакты!$B$2:$B$24,A7,Контакты!$U$2:$U$24,"Высокий")</f>
        <v>0</v>
      </c>
    </row>
    <row r="8" customFormat="false" ht="15" hidden="false" customHeight="false" outlineLevel="0" collapsed="false">
      <c r="A8" s="7" t="s">
        <v>330</v>
      </c>
      <c r="B8" s="7" t="n">
        <f aca="false">SUM(B2:B7)</f>
        <v>23</v>
      </c>
      <c r="C8" s="7" t="n">
        <f aca="false">SUM(C2:C7)</f>
        <v>8</v>
      </c>
    </row>
    <row r="9" customFormat="false" ht="15" hidden="false" customHeight="false" outlineLevel="0" collapsed="false">
      <c r="A9" s="6"/>
      <c r="B9" s="6"/>
      <c r="C9" s="6"/>
    </row>
    <row r="10" customFormat="false" ht="15" hidden="false" customHeight="false" outlineLevel="0" collapsed="false">
      <c r="A10" s="6" t="s">
        <v>2</v>
      </c>
      <c r="B10" s="6" t="s">
        <v>328</v>
      </c>
      <c r="C10" s="6"/>
    </row>
    <row r="11" customFormat="false" ht="15" hidden="false" customHeight="false" outlineLevel="0" collapsed="false">
      <c r="A11" s="6" t="s">
        <v>132</v>
      </c>
      <c r="B11" s="6" t="n">
        <f aca="false">COUNTIF(Контакты!$C$2:$C$24,A11)</f>
        <v>1</v>
      </c>
      <c r="C11" s="6"/>
    </row>
    <row r="12" customFormat="false" ht="15" hidden="false" customHeight="false" outlineLevel="0" collapsed="false">
      <c r="A12" s="6" t="s">
        <v>45</v>
      </c>
      <c r="B12" s="6" t="n">
        <f aca="false">COUNTIF(Контакты!$C$2:$C$24,A12)</f>
        <v>13</v>
      </c>
      <c r="C12" s="6"/>
    </row>
    <row r="13" customFormat="false" ht="15" hidden="false" customHeight="false" outlineLevel="0" collapsed="false">
      <c r="A13" s="6" t="s">
        <v>24</v>
      </c>
      <c r="B13" s="6" t="n">
        <f aca="false">COUNTIF(Контакты!$C$2:$C$24,A13)</f>
        <v>1</v>
      </c>
      <c r="C13" s="6"/>
    </row>
    <row r="14" customFormat="false" ht="15" hidden="false" customHeight="false" outlineLevel="0" collapsed="false">
      <c r="A14" s="6" t="s">
        <v>186</v>
      </c>
      <c r="B14" s="6" t="n">
        <f aca="false">COUNTIF(Контакты!$C$2:$C$24,A14)</f>
        <v>1</v>
      </c>
      <c r="C14" s="6"/>
    </row>
    <row r="15" customFormat="false" ht="15" hidden="false" customHeight="false" outlineLevel="0" collapsed="false">
      <c r="A15" s="6" t="s">
        <v>60</v>
      </c>
      <c r="B15" s="6" t="n">
        <f aca="false">COUNTIF(Контакты!$C$2:$C$24,A15)</f>
        <v>3</v>
      </c>
      <c r="C15" s="6"/>
    </row>
    <row r="16" customFormat="false" ht="15" hidden="false" customHeight="false" outlineLevel="0" collapsed="false">
      <c r="A16" s="6" t="s">
        <v>72</v>
      </c>
      <c r="B16" s="6" t="n">
        <f aca="false">COUNTIF(Контакты!$C$2:$C$24,A16)</f>
        <v>4</v>
      </c>
      <c r="C1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70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5" t="s">
        <v>4</v>
      </c>
      <c r="B1" s="5" t="s">
        <v>331</v>
      </c>
      <c r="C1" s="5" t="s">
        <v>332</v>
      </c>
      <c r="D1" s="5" t="s">
        <v>333</v>
      </c>
    </row>
    <row r="2" customFormat="false" ht="35.05" hidden="false" customHeight="false" outlineLevel="0" collapsed="false">
      <c r="A2" s="8" t="s">
        <v>334</v>
      </c>
      <c r="B2" s="9" t="s">
        <v>335</v>
      </c>
      <c r="C2" s="9" t="s">
        <v>336</v>
      </c>
      <c r="D2" s="9" t="s">
        <v>337</v>
      </c>
    </row>
    <row r="3" customFormat="false" ht="15" hidden="false" customHeight="false" outlineLevel="0" collapsed="false">
      <c r="A3" s="9" t="s">
        <v>338</v>
      </c>
      <c r="B3" s="9" t="s">
        <v>335</v>
      </c>
      <c r="C3" s="9" t="s">
        <v>339</v>
      </c>
      <c r="D3" s="9" t="s">
        <v>337</v>
      </c>
    </row>
    <row r="4" customFormat="false" ht="23.85" hidden="false" customHeight="false" outlineLevel="0" collapsed="false">
      <c r="A4" s="8" t="s">
        <v>340</v>
      </c>
      <c r="B4" s="9" t="s">
        <v>60</v>
      </c>
      <c r="C4" s="9" t="s">
        <v>341</v>
      </c>
      <c r="D4" s="9" t="s">
        <v>342</v>
      </c>
    </row>
    <row r="5" customFormat="false" ht="35.05" hidden="false" customHeight="false" outlineLevel="0" collapsed="false">
      <c r="A5" s="9" t="s">
        <v>343</v>
      </c>
      <c r="B5" s="9" t="s">
        <v>344</v>
      </c>
      <c r="C5" s="9" t="s">
        <v>345</v>
      </c>
      <c r="D5" s="9" t="s">
        <v>346</v>
      </c>
    </row>
    <row r="6" customFormat="false" ht="23.85" hidden="false" customHeight="false" outlineLevel="0" collapsed="false">
      <c r="A6" s="8" t="s">
        <v>347</v>
      </c>
      <c r="B6" s="9" t="s">
        <v>60</v>
      </c>
      <c r="C6" s="9" t="s">
        <v>348</v>
      </c>
      <c r="D6" s="9" t="s">
        <v>349</v>
      </c>
    </row>
    <row r="7" customFormat="false" ht="23.85" hidden="false" customHeight="false" outlineLevel="0" collapsed="false">
      <c r="A7" s="8" t="s">
        <v>350</v>
      </c>
      <c r="B7" s="9" t="s">
        <v>60</v>
      </c>
      <c r="C7" s="9" t="s">
        <v>351</v>
      </c>
      <c r="D7" s="9" t="s">
        <v>349</v>
      </c>
    </row>
    <row r="8" customFormat="false" ht="25.35" hidden="false" customHeight="false" outlineLevel="0" collapsed="false">
      <c r="A8" s="8" t="s">
        <v>352</v>
      </c>
      <c r="B8" s="9" t="s">
        <v>60</v>
      </c>
      <c r="C8" s="9" t="s">
        <v>353</v>
      </c>
      <c r="D8" s="9" t="s">
        <v>337</v>
      </c>
    </row>
    <row r="9" customFormat="false" ht="15" hidden="false" customHeight="false" outlineLevel="0" collapsed="false">
      <c r="A9" s="8" t="s">
        <v>354</v>
      </c>
      <c r="B9" s="9" t="s">
        <v>60</v>
      </c>
      <c r="C9" s="9" t="s">
        <v>355</v>
      </c>
      <c r="D9" s="9" t="s">
        <v>337</v>
      </c>
    </row>
    <row r="10" customFormat="false" ht="23.85" hidden="false" customHeight="false" outlineLevel="0" collapsed="false">
      <c r="A10" s="9" t="s">
        <v>356</v>
      </c>
      <c r="B10" s="9" t="s">
        <v>357</v>
      </c>
      <c r="C10" s="9" t="s">
        <v>358</v>
      </c>
      <c r="D10" s="9" t="s">
        <v>349</v>
      </c>
    </row>
    <row r="11" customFormat="false" ht="23.85" hidden="false" customHeight="false" outlineLevel="0" collapsed="false">
      <c r="A11" s="9" t="s">
        <v>359</v>
      </c>
      <c r="B11" s="9" t="s">
        <v>357</v>
      </c>
      <c r="C11" s="9" t="s">
        <v>360</v>
      </c>
      <c r="D11" s="9" t="s">
        <v>349</v>
      </c>
    </row>
    <row r="12" customFormat="false" ht="23.85" hidden="false" customHeight="false" outlineLevel="0" collapsed="false">
      <c r="A12" s="9" t="s">
        <v>361</v>
      </c>
      <c r="B12" s="9" t="s">
        <v>357</v>
      </c>
      <c r="C12" s="9" t="s">
        <v>362</v>
      </c>
      <c r="D12" s="9" t="s">
        <v>349</v>
      </c>
    </row>
    <row r="13" customFormat="false" ht="23.85" hidden="false" customHeight="false" outlineLevel="0" collapsed="false">
      <c r="A13" s="9" t="s">
        <v>363</v>
      </c>
      <c r="B13" s="9" t="s">
        <v>357</v>
      </c>
      <c r="C13" s="9" t="s">
        <v>364</v>
      </c>
      <c r="D13" s="9" t="s">
        <v>349</v>
      </c>
    </row>
    <row r="14" customFormat="false" ht="23.85" hidden="false" customHeight="false" outlineLevel="0" collapsed="false">
      <c r="A14" s="8" t="s">
        <v>365</v>
      </c>
      <c r="B14" s="9" t="s">
        <v>357</v>
      </c>
      <c r="C14" s="9" t="s">
        <v>366</v>
      </c>
      <c r="D14" s="9" t="s">
        <v>349</v>
      </c>
    </row>
    <row r="15" customFormat="false" ht="23.85" hidden="false" customHeight="false" outlineLevel="0" collapsed="false">
      <c r="A15" s="8" t="s">
        <v>367</v>
      </c>
      <c r="B15" s="9" t="s">
        <v>357</v>
      </c>
      <c r="C15" s="9" t="s">
        <v>368</v>
      </c>
      <c r="D15" s="9" t="s">
        <v>349</v>
      </c>
    </row>
    <row r="16" customFormat="false" ht="23.85" hidden="false" customHeight="false" outlineLevel="0" collapsed="false">
      <c r="A16" s="8" t="s">
        <v>369</v>
      </c>
      <c r="B16" s="9" t="s">
        <v>357</v>
      </c>
      <c r="C16" s="9" t="s">
        <v>370</v>
      </c>
      <c r="D16" s="9" t="s">
        <v>349</v>
      </c>
    </row>
    <row r="17" customFormat="false" ht="15" hidden="false" customHeight="false" outlineLevel="0" collapsed="false">
      <c r="A17" s="8" t="s">
        <v>371</v>
      </c>
      <c r="B17" s="9" t="s">
        <v>357</v>
      </c>
      <c r="C17" s="9" t="s">
        <v>372</v>
      </c>
      <c r="D17" s="9" t="s">
        <v>337</v>
      </c>
    </row>
    <row r="18" customFormat="false" ht="23.85" hidden="false" customHeight="false" outlineLevel="0" collapsed="false">
      <c r="A18" s="8" t="s">
        <v>373</v>
      </c>
      <c r="B18" s="9" t="s">
        <v>357</v>
      </c>
      <c r="C18" s="9" t="s">
        <v>374</v>
      </c>
      <c r="D18" s="9" t="s">
        <v>349</v>
      </c>
    </row>
    <row r="19" customFormat="false" ht="23.85" hidden="false" customHeight="false" outlineLevel="0" collapsed="false">
      <c r="A19" s="8" t="s">
        <v>375</v>
      </c>
      <c r="B19" s="9" t="s">
        <v>357</v>
      </c>
      <c r="C19" s="9" t="s">
        <v>376</v>
      </c>
      <c r="D19" s="9" t="s">
        <v>349</v>
      </c>
    </row>
    <row r="20" customFormat="false" ht="23.85" hidden="false" customHeight="false" outlineLevel="0" collapsed="false">
      <c r="A20" s="8" t="s">
        <v>377</v>
      </c>
      <c r="B20" s="9" t="s">
        <v>357</v>
      </c>
      <c r="C20" s="9" t="s">
        <v>376</v>
      </c>
      <c r="D20" s="9" t="s">
        <v>349</v>
      </c>
    </row>
    <row r="21" customFormat="false" ht="15" hidden="false" customHeight="false" outlineLevel="0" collapsed="false">
      <c r="A21" s="8" t="s">
        <v>378</v>
      </c>
      <c r="B21" s="9" t="s">
        <v>357</v>
      </c>
      <c r="C21" s="9" t="s">
        <v>379</v>
      </c>
      <c r="D21" s="9" t="s">
        <v>337</v>
      </c>
    </row>
    <row r="22" customFormat="false" ht="23.85" hidden="false" customHeight="false" outlineLevel="0" collapsed="false">
      <c r="A22" s="8" t="s">
        <v>380</v>
      </c>
      <c r="B22" s="9" t="s">
        <v>357</v>
      </c>
      <c r="C22" s="9" t="s">
        <v>381</v>
      </c>
      <c r="D22" s="9" t="s">
        <v>349</v>
      </c>
    </row>
    <row r="23" customFormat="false" ht="15" hidden="false" customHeight="false" outlineLevel="0" collapsed="false">
      <c r="A23" s="8" t="s">
        <v>382</v>
      </c>
      <c r="B23" s="9" t="s">
        <v>357</v>
      </c>
      <c r="C23" s="9" t="s">
        <v>383</v>
      </c>
      <c r="D23" s="9" t="s">
        <v>337</v>
      </c>
    </row>
    <row r="24" customFormat="false" ht="23.85" hidden="false" customHeight="false" outlineLevel="0" collapsed="false">
      <c r="A24" s="8" t="s">
        <v>384</v>
      </c>
      <c r="B24" s="9" t="s">
        <v>357</v>
      </c>
      <c r="C24" s="9" t="s">
        <v>374</v>
      </c>
      <c r="D24" s="9" t="s">
        <v>349</v>
      </c>
    </row>
    <row r="25" customFormat="false" ht="23.85" hidden="false" customHeight="false" outlineLevel="0" collapsed="false">
      <c r="A25" s="8" t="s">
        <v>385</v>
      </c>
      <c r="B25" s="9" t="s">
        <v>357</v>
      </c>
      <c r="C25" s="9" t="s">
        <v>386</v>
      </c>
      <c r="D25" s="9" t="s">
        <v>349</v>
      </c>
    </row>
    <row r="26" customFormat="false" ht="23.85" hidden="false" customHeight="false" outlineLevel="0" collapsed="false">
      <c r="A26" s="9" t="s">
        <v>387</v>
      </c>
      <c r="B26" s="9" t="s">
        <v>357</v>
      </c>
      <c r="C26" s="9" t="s">
        <v>376</v>
      </c>
      <c r="D26" s="9" t="s">
        <v>349</v>
      </c>
    </row>
    <row r="27" customFormat="false" ht="23.85" hidden="false" customHeight="false" outlineLevel="0" collapsed="false">
      <c r="A27" s="9" t="s">
        <v>388</v>
      </c>
      <c r="B27" s="9" t="s">
        <v>357</v>
      </c>
      <c r="C27" s="9" t="s">
        <v>389</v>
      </c>
      <c r="D27" s="9" t="s">
        <v>349</v>
      </c>
    </row>
    <row r="28" customFormat="false" ht="23.85" hidden="false" customHeight="false" outlineLevel="0" collapsed="false">
      <c r="A28" s="8" t="s">
        <v>390</v>
      </c>
      <c r="B28" s="9" t="s">
        <v>357</v>
      </c>
      <c r="C28" s="9" t="s">
        <v>391</v>
      </c>
      <c r="D28" s="9" t="s">
        <v>349</v>
      </c>
    </row>
    <row r="29" customFormat="false" ht="23.85" hidden="false" customHeight="false" outlineLevel="0" collapsed="false">
      <c r="A29" s="8" t="s">
        <v>392</v>
      </c>
      <c r="B29" s="9" t="s">
        <v>357</v>
      </c>
      <c r="C29" s="9" t="s">
        <v>393</v>
      </c>
      <c r="D29" s="9" t="s">
        <v>349</v>
      </c>
    </row>
    <row r="30" customFormat="false" ht="15" hidden="false" customHeight="false" outlineLevel="0" collapsed="false">
      <c r="A30" s="8" t="s">
        <v>394</v>
      </c>
      <c r="B30" s="9" t="s">
        <v>357</v>
      </c>
      <c r="C30" s="9" t="s">
        <v>395</v>
      </c>
      <c r="D30" s="9" t="s">
        <v>337</v>
      </c>
    </row>
    <row r="31" customFormat="false" ht="15" hidden="false" customHeight="false" outlineLevel="0" collapsed="false">
      <c r="A31" s="8" t="s">
        <v>396</v>
      </c>
      <c r="B31" s="9" t="s">
        <v>357</v>
      </c>
      <c r="C31" s="9" t="s">
        <v>397</v>
      </c>
      <c r="D31" s="9" t="s">
        <v>337</v>
      </c>
    </row>
    <row r="32" customFormat="false" ht="23.85" hidden="false" customHeight="false" outlineLevel="0" collapsed="false">
      <c r="A32" s="9" t="s">
        <v>398</v>
      </c>
      <c r="B32" s="9" t="s">
        <v>357</v>
      </c>
      <c r="C32" s="9" t="s">
        <v>399</v>
      </c>
      <c r="D32" s="9" t="s">
        <v>349</v>
      </c>
    </row>
    <row r="33" customFormat="false" ht="23.85" hidden="false" customHeight="false" outlineLevel="0" collapsed="false">
      <c r="A33" s="9" t="s">
        <v>400</v>
      </c>
      <c r="B33" s="9" t="s">
        <v>357</v>
      </c>
      <c r="C33" s="9" t="s">
        <v>376</v>
      </c>
      <c r="D33" s="9" t="s">
        <v>349</v>
      </c>
    </row>
    <row r="34" customFormat="false" ht="23.85" hidden="false" customHeight="false" outlineLevel="0" collapsed="false">
      <c r="A34" s="9" t="s">
        <v>401</v>
      </c>
      <c r="B34" s="9" t="s">
        <v>357</v>
      </c>
      <c r="C34" s="9" t="s">
        <v>402</v>
      </c>
      <c r="D34" s="9" t="s">
        <v>349</v>
      </c>
    </row>
    <row r="35" customFormat="false" ht="15" hidden="false" customHeight="false" outlineLevel="0" collapsed="false">
      <c r="A35" s="9" t="s">
        <v>403</v>
      </c>
      <c r="B35" s="9" t="s">
        <v>344</v>
      </c>
      <c r="C35" s="9"/>
      <c r="D35" s="9" t="s">
        <v>404</v>
      </c>
    </row>
    <row r="36" customFormat="false" ht="15" hidden="false" customHeight="false" outlineLevel="0" collapsed="false">
      <c r="A36" s="8" t="s">
        <v>405</v>
      </c>
      <c r="B36" s="9" t="s">
        <v>344</v>
      </c>
      <c r="C36" s="9"/>
      <c r="D36" s="9" t="s">
        <v>404</v>
      </c>
    </row>
    <row r="37" customFormat="false" ht="15" hidden="false" customHeight="false" outlineLevel="0" collapsed="false">
      <c r="A37" s="8" t="s">
        <v>406</v>
      </c>
      <c r="B37" s="9" t="s">
        <v>344</v>
      </c>
      <c r="C37" s="9"/>
      <c r="D37" s="9" t="s">
        <v>404</v>
      </c>
    </row>
    <row r="38" customFormat="false" ht="15" hidden="false" customHeight="false" outlineLevel="0" collapsed="false">
      <c r="A38" s="9" t="s">
        <v>407</v>
      </c>
      <c r="B38" s="9" t="s">
        <v>344</v>
      </c>
      <c r="C38" s="9"/>
      <c r="D38" s="9" t="s">
        <v>404</v>
      </c>
    </row>
    <row r="39" customFormat="false" ht="15" hidden="false" customHeight="false" outlineLevel="0" collapsed="false">
      <c r="A39" s="9" t="s">
        <v>408</v>
      </c>
      <c r="B39" s="9" t="s">
        <v>344</v>
      </c>
      <c r="C39" s="9"/>
      <c r="D39" s="9" t="s">
        <v>404</v>
      </c>
    </row>
    <row r="40" customFormat="false" ht="15" hidden="false" customHeight="false" outlineLevel="0" collapsed="false">
      <c r="A40" s="8" t="s">
        <v>409</v>
      </c>
      <c r="B40" s="9" t="s">
        <v>344</v>
      </c>
      <c r="C40" s="9"/>
      <c r="D40" s="9" t="s">
        <v>404</v>
      </c>
    </row>
    <row r="41" customFormat="false" ht="15" hidden="false" customHeight="false" outlineLevel="0" collapsed="false">
      <c r="A41" s="9" t="s">
        <v>410</v>
      </c>
      <c r="B41" s="9" t="s">
        <v>344</v>
      </c>
      <c r="C41" s="9"/>
      <c r="D41" s="9" t="s">
        <v>404</v>
      </c>
    </row>
    <row r="42" customFormat="false" ht="15" hidden="false" customHeight="false" outlineLevel="0" collapsed="false">
      <c r="A42" s="9" t="s">
        <v>411</v>
      </c>
      <c r="B42" s="9" t="s">
        <v>344</v>
      </c>
      <c r="C42" s="9" t="s">
        <v>412</v>
      </c>
      <c r="D42" s="9" t="s">
        <v>404</v>
      </c>
    </row>
    <row r="43" customFormat="false" ht="15" hidden="false" customHeight="false" outlineLevel="0" collapsed="false">
      <c r="A43" s="8" t="s">
        <v>413</v>
      </c>
      <c r="B43" s="9" t="s">
        <v>344</v>
      </c>
      <c r="C43" s="9"/>
      <c r="D43" s="9" t="s">
        <v>404</v>
      </c>
    </row>
  </sheetData>
  <autoFilter ref="A1:D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2026-10-14T15:40:23Z</dcterms:created>
  <dc:creator>openpyxl</dc:creator>
  <dc:description/>
  <dc:language>en-US</dc:language>
  <cp:lastModifiedBy/>
  <dcterms:modified xsi:type="dcterms:W3CDTF">2026-10-14T15:40:23Z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