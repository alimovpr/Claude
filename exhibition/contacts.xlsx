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Контакты!$A$1:$U$3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<sst xmlns="http://schemas.openxmlformats.org/spreadsheetml/2006/main" count="58" uniqueCount="54">
  <si>
    <t xml:space="preserve">№</t>
  </si>
  <si>
    <t xml:space="preserve">Страна производства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</si>
  <si>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</si>
  <si>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</si>
  <si>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</si>
  <si>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</si>
  <si>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</si>
  <si>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</si>
  <si>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</si>
  <si>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</si>
  <si>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</si>
  <si>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</si>
  <si>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</si>
  <si>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</si>
  <si>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</si>
  <si>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</si>
  <si>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</si>
  <si>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</si>
  <si>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</si>
  <si>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</si>
  <si>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</si>
  <si>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Китай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</si>
  <si>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</si>
  <si>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</si>
  <si>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</si>
  <si>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</si>
  <si>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</si>
  <si>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</si>
  <si>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</si>
  <si>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</si>
  <si>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</si>
  <si>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</si>
  <si>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</si>
  <si>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</si>
  <si>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</si>
  <si>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</si>
  <si>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</si>
  <si>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2026-10-14</t>
  </si>
  <si>
    <t xml:space="preserve">photos/001_kava.jpg</t>
  </si>
  <si>
    <t xml:space="preserve">Франция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</si>
  <si>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</si>
  <si>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</si>
  <si>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</si>
  <si>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effervescence-lab.com (по домену email, не проверен)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</si>
  <si>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</si>
  <si>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Авиньон, Франция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</si>
  <si>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</si>
  <si>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</si>
  <si>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</si>
  <si>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Найти контакт (написать через сайт / LinkedIn Muriel Hibon), запросить условия разработки формулы и есть ли производство</t>
  </si>
  <si>
    <t xml:space="preserve">photos/002_effervescence_lab.jpg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</si>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</sst>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45"/>
    <col collapsed="false" customWidth="true" hidden="false" outlineLevel="0" max="10" min="8" style="0" width="18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36"/>
    <col collapsed="false" customWidth="true" hidden="false" outlineLevel="0" max="14" min="14" style="0" width="22"/>
    <col collapsed="false" customWidth="true" hidden="false" outlineLevel="0" max="15" min="15" style="0" width="30"/>
    <col collapsed="false" customWidth="true" hidden="false" outlineLevel="0" max="16" min="16" style="0" width="50"/>
    <col collapsed="false" customWidth="true" hidden="false" outlineLevel="0" max="17" min="17" style="0" width="30"/>
    <col collapsed="false" customWidth="true" hidden="false" outlineLevel="0" max="18" min="18" style="0" width="32"/>
    <col collapsed="false" customWidth="true" hidden="false" outlineLevel="0" max="20" min="19" style="0" width="11"/>
    <col collapsed="false" customWidth="true" hidden="false" outlineLevel="0" max="21" min="21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57.45" hidden="false" customHeight="false" outlineLevel="0" collapsed="false">
      <c r="A2" s="2" t="n">
        <v>1</v>
      </c>
      <c r="B2" s="3" t="s">
        <v>21</v>
      </c>
      <c r="C2" s="2" t="s">
        <v>22</v>
      </c>
      <c r="D2" s="2" t="s">
        <v>23</v>
      </c>
      <c r="E2" s="2"/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</row>
    <row r="3" customFormat="false" ht="102.2" hidden="false" customHeight="false" outlineLevel="0" collapsed="false">
      <c r="A3" s="2" t="n">
        <v>2</v>
      </c>
      <c r="B3" s="3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/>
      <c r="I3" s="2"/>
      <c r="J3" s="2"/>
      <c r="K3" s="2"/>
      <c r="L3" s="2"/>
      <c r="M3" s="2" t="s">
        <v>45</v>
      </c>
      <c r="N3" s="2"/>
      <c r="O3" s="2" t="s">
        <v>46</v>
      </c>
      <c r="P3" s="2" t="s">
        <v>47</v>
      </c>
      <c r="Q3" s="2" t="s">
        <v>48</v>
      </c>
      <c r="R3" s="2" t="s">
        <v>49</v>
      </c>
      <c r="S3" s="2"/>
      <c r="T3" s="2" t="s">
        <v>37</v>
      </c>
      <c r="U3" s="2" t="s">
        <v>50</v>
      </c>
    </row>
  </sheetData>
  <autoFilter ref="A1:U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4" t="s">
        <v>1</v>
      </c>
      <c r="B1" s="4" t="s">
        <v>51</v>
      </c>
      <c r="C1" s="4" t="s">
        <v>52</v>
      </c>
    </row>
    <row r="2" customFormat="false" ht="15" hidden="false" customHeight="false" outlineLevel="0" collapsed="false">
      <c r="A2" s="5" t="s">
        <v>21</v>
      </c>
      <c r="B2" s="5" t="n">
        <f aca="false">COUNTIF(Контакты!$B$2:$B$3,A2)</f>
        <v>1</v>
      </c>
      <c r="C2" s="5" t="n">
        <f aca="false">COUNTIFS(Контакты!$B$2:$B$3,A2,Контакты!$S$2:$S$3,"Высокий")</f>
        <v>1</v>
      </c>
    </row>
    <row r="3" customFormat="false" ht="15" hidden="false" customHeight="false" outlineLevel="0" collapsed="false">
      <c r="A3" s="5" t="s">
        <v>39</v>
      </c>
      <c r="B3" s="5" t="n">
        <f aca="false">COUNTIF(Контакты!$B$2:$B$3,A3)</f>
        <v>1</v>
      </c>
      <c r="C3" s="5" t="n">
        <f aca="false">COUNTIFS(Контакты!$B$2:$B$3,A3,Контакты!$S$2:$S$3,"Высокий")</f>
        <v>0</v>
      </c>
    </row>
    <row r="4" customFormat="false" ht="15" hidden="false" customHeight="false" outlineLevel="0" collapsed="false">
      <c r="A4" s="6" t="s">
        <v>53</v>
      </c>
      <c r="B4" s="6" t="n">
        <f aca="false">SUM(B2:B3)</f>
        <v>2</v>
      </c>
      <c r="C4" s="6" t="n">
        <f aca="false">SUM(C2:C3)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2026-10-14T09:59:22Z</dcterms:created>
  <dc:creator>openpyxl</dc:creator>
  <dc:description/>
  <dc:language>en-US</dc:language>
  <cp:lastModifiedBy/>
  <dcterms:modified xsi:type="dcterms:W3CDTF">2026-10-14T09:59:22Z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