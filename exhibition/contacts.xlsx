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Контакты!$A$1:$W$17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<sst xmlns="http://schemas.openxmlformats.org/spreadsheetml/2006/main" count="463" uniqueCount="322">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</sst>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kava.cn/" TargetMode="External"/><Relationship Id="rId7" Type="http://schemas.openxmlformats.org/officeDocument/2006/relationships/hyperlink" Target="https://www.lamerbeauty.uk/" TargetMode="External"/><Relationship Id="rId8" Type="http://schemas.openxmlformats.org/officeDocument/2006/relationships/hyperlink" Target="https://www.aircospascual-anjac.com/" TargetMode="External"/><Relationship Id="rId9" Type="http://schemas.openxmlformats.org/officeDocument/2006/relationships/hyperlink" Target="https://www.desjardin.fr/" TargetMode="External"/><Relationship Id="rId10" Type="http://schemas.openxmlformats.org/officeDocument/2006/relationships/hyperlink" Target="https://www.desjardin.fr/en/categories/cosmetic-packaging" TargetMode="External"/><Relationship Id="rId11" Type="http://schemas.openxmlformats.org/officeDocument/2006/relationships/hyperlink" Target="https://www.effervescence-lab.com/" TargetMode="External"/><Relationship Id="rId12" Type="http://schemas.openxmlformats.org/officeDocument/2006/relationships/hyperlink" Target="https://simah-cosmetiques.fr/" TargetMode="External"/><Relationship Id="rId13" Type="http://schemas.openxmlformats.org/officeDocument/2006/relationships/hyperlink" Target="https://welcon.kocca.kr/en/directory/company/cosplan-inc--5601" TargetMode="External"/><Relationship Id="rId14" Type="http://schemas.openxmlformats.org/officeDocument/2006/relationships/hyperlink" Target="https://iwasecosfa.eu/" TargetMode="External"/><Relationship Id="rId15" Type="http://schemas.openxmlformats.org/officeDocument/2006/relationships/hyperlink" Target="https://iwasecosfa-eu.covalo.com/" TargetMode="External"/><Relationship Id="rId1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57.4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/>
      <c r="G6" s="4" t="s">
        <v>88</v>
      </c>
      <c r="H6" s="2"/>
      <c r="I6" s="2" t="s">
        <v>89</v>
      </c>
      <c r="J6" s="2" t="s">
        <v>90</v>
      </c>
      <c r="K6" s="2" t="s">
        <v>91</v>
      </c>
      <c r="L6" s="2" t="s">
        <v>92</v>
      </c>
      <c r="M6" s="2" t="s">
        <v>93</v>
      </c>
      <c r="N6" s="2"/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79.85" hidden="false" customHeight="false" outlineLevel="0" collapsed="false">
      <c r="A7" s="2" t="n">
        <v>6</v>
      </c>
      <c r="B7" s="3" t="s">
        <v>44</v>
      </c>
      <c r="C7" s="2" t="s">
        <v>45</v>
      </c>
      <c r="D7" s="2" t="s">
        <v>101</v>
      </c>
      <c r="E7" s="2" t="s">
        <v>102</v>
      </c>
      <c r="F7" s="2" t="s">
        <v>103</v>
      </c>
      <c r="G7" s="4" t="s">
        <v>104</v>
      </c>
      <c r="H7" s="2"/>
      <c r="I7" s="2" t="s">
        <v>105</v>
      </c>
      <c r="J7" s="2" t="s">
        <v>106</v>
      </c>
      <c r="K7" s="2"/>
      <c r="L7" s="2" t="s">
        <v>107</v>
      </c>
      <c r="M7" s="2" t="s">
        <v>108</v>
      </c>
      <c r="N7" s="2" t="s">
        <v>109</v>
      </c>
      <c r="O7" s="2" t="s">
        <v>110</v>
      </c>
      <c r="P7" s="2" t="s">
        <v>36</v>
      </c>
      <c r="Q7" s="2" t="s">
        <v>111</v>
      </c>
      <c r="R7" s="2" t="s">
        <v>112</v>
      </c>
      <c r="S7" s="2" t="s">
        <v>113</v>
      </c>
      <c r="T7" s="2" t="s">
        <v>114</v>
      </c>
      <c r="U7" s="2"/>
      <c r="V7" s="2" t="s">
        <v>42</v>
      </c>
      <c r="W7" s="2" t="s">
        <v>115</v>
      </c>
    </row>
    <row r="8" customFormat="false" ht="202.95" hidden="false" customHeight="false" outlineLevel="0" collapsed="false">
      <c r="A8" s="2" t="n">
        <v>7</v>
      </c>
      <c r="B8" s="3" t="s">
        <v>116</v>
      </c>
      <c r="C8" s="2" t="s">
        <v>45</v>
      </c>
      <c r="D8" s="2" t="s">
        <v>117</v>
      </c>
      <c r="E8" s="2" t="s">
        <v>118</v>
      </c>
      <c r="F8" s="2" t="s">
        <v>119</v>
      </c>
      <c r="G8" s="4" t="s">
        <v>120</v>
      </c>
      <c r="H8" s="2"/>
      <c r="I8" s="2" t="s">
        <v>121</v>
      </c>
      <c r="J8" s="2" t="s">
        <v>122</v>
      </c>
      <c r="K8" s="2"/>
      <c r="L8" s="2" t="s">
        <v>123</v>
      </c>
      <c r="M8" s="2" t="s">
        <v>124</v>
      </c>
      <c r="N8" s="2" t="s">
        <v>125</v>
      </c>
      <c r="O8" s="2" t="s">
        <v>126</v>
      </c>
      <c r="P8" s="2" t="s">
        <v>127</v>
      </c>
      <c r="Q8" s="2" t="s">
        <v>128</v>
      </c>
      <c r="R8" s="2" t="s">
        <v>129</v>
      </c>
      <c r="S8" s="2" t="s">
        <v>130</v>
      </c>
      <c r="T8" s="2" t="s">
        <v>131</v>
      </c>
      <c r="U8" s="2" t="s">
        <v>58</v>
      </c>
      <c r="V8" s="2" t="s">
        <v>42</v>
      </c>
      <c r="W8" s="2" t="s">
        <v>132</v>
      </c>
    </row>
    <row r="9" customFormat="false" ht="102.2" hidden="false" customHeight="false" outlineLevel="0" collapsed="false">
      <c r="A9" s="2" t="n">
        <v>8</v>
      </c>
      <c r="B9" s="3" t="s">
        <v>116</v>
      </c>
      <c r="C9" s="2" t="s">
        <v>72</v>
      </c>
      <c r="D9" s="2" t="s">
        <v>133</v>
      </c>
      <c r="E9" s="2" t="s">
        <v>134</v>
      </c>
      <c r="F9" s="2" t="s">
        <v>27</v>
      </c>
      <c r="G9" s="4" t="s">
        <v>135</v>
      </c>
      <c r="H9" s="4" t="s">
        <v>136</v>
      </c>
      <c r="I9" s="2" t="s">
        <v>137</v>
      </c>
      <c r="J9" s="2"/>
      <c r="K9" s="2"/>
      <c r="L9" s="2"/>
      <c r="M9" s="2" t="s">
        <v>138</v>
      </c>
      <c r="N9" s="2"/>
      <c r="O9" s="2" t="s">
        <v>139</v>
      </c>
      <c r="P9" s="2" t="s">
        <v>67</v>
      </c>
      <c r="Q9" s="2"/>
      <c r="R9" s="2" t="s">
        <v>140</v>
      </c>
      <c r="S9" s="2" t="s">
        <v>141</v>
      </c>
      <c r="T9" s="2" t="s">
        <v>142</v>
      </c>
      <c r="U9" s="2"/>
      <c r="V9" s="2" t="s">
        <v>42</v>
      </c>
      <c r="W9" s="2" t="s">
        <v>143</v>
      </c>
    </row>
    <row r="10" customFormat="false" ht="102.2" hidden="false" customHeight="false" outlineLevel="0" collapsed="false">
      <c r="A10" s="2" t="n">
        <v>9</v>
      </c>
      <c r="B10" s="3" t="s">
        <v>116</v>
      </c>
      <c r="C10" s="2" t="s">
        <v>144</v>
      </c>
      <c r="D10" s="2" t="s">
        <v>145</v>
      </c>
      <c r="E10" s="2" t="s">
        <v>146</v>
      </c>
      <c r="F10" s="2" t="s">
        <v>147</v>
      </c>
      <c r="G10" s="4" t="s">
        <v>148</v>
      </c>
      <c r="H10" s="2"/>
      <c r="I10" s="2" t="s">
        <v>149</v>
      </c>
      <c r="J10" s="2"/>
      <c r="K10" s="2"/>
      <c r="L10" s="2"/>
      <c r="M10" s="2" t="s">
        <v>150</v>
      </c>
      <c r="N10" s="2" t="s">
        <v>151</v>
      </c>
      <c r="O10" s="2" t="s">
        <v>152</v>
      </c>
      <c r="P10" s="2" t="s">
        <v>153</v>
      </c>
      <c r="Q10" s="2" t="s">
        <v>154</v>
      </c>
      <c r="R10" s="2" t="s">
        <v>155</v>
      </c>
      <c r="S10" s="2" t="s">
        <v>156</v>
      </c>
      <c r="T10" s="2" t="s">
        <v>157</v>
      </c>
      <c r="U10" s="2"/>
      <c r="V10" s="2" t="s">
        <v>42</v>
      </c>
      <c r="W10" s="2" t="s">
        <v>158</v>
      </c>
    </row>
    <row r="11" customFormat="false" ht="180.55" hidden="false" customHeight="false" outlineLevel="0" collapsed="false">
      <c r="A11" s="2" t="n">
        <v>10</v>
      </c>
      <c r="B11" s="3" t="s">
        <v>116</v>
      </c>
      <c r="C11" s="2" t="s">
        <v>60</v>
      </c>
      <c r="D11" s="2" t="s">
        <v>159</v>
      </c>
      <c r="E11" s="2" t="s">
        <v>160</v>
      </c>
      <c r="F11" s="2" t="s">
        <v>161</v>
      </c>
      <c r="G11" s="2"/>
      <c r="H11" s="2"/>
      <c r="I11" s="2" t="s">
        <v>162</v>
      </c>
      <c r="J11" s="2"/>
      <c r="K11" s="2"/>
      <c r="L11" s="2"/>
      <c r="M11" s="2"/>
      <c r="N11" s="2"/>
      <c r="O11" s="2" t="s">
        <v>163</v>
      </c>
      <c r="P11" s="2" t="s">
        <v>164</v>
      </c>
      <c r="Q11" s="2"/>
      <c r="R11" s="2" t="s">
        <v>165</v>
      </c>
      <c r="S11" s="2" t="s">
        <v>166</v>
      </c>
      <c r="T11" s="2" t="s">
        <v>167</v>
      </c>
      <c r="U11" s="2"/>
      <c r="V11" s="2" t="s">
        <v>42</v>
      </c>
      <c r="W11" s="2" t="s">
        <v>168</v>
      </c>
    </row>
    <row r="12" customFormat="false" ht="158.2" hidden="false" customHeight="false" outlineLevel="0" collapsed="false">
      <c r="A12" s="2" t="n">
        <v>11</v>
      </c>
      <c r="B12" s="3" t="s">
        <v>116</v>
      </c>
      <c r="C12" s="2" t="s">
        <v>45</v>
      </c>
      <c r="D12" s="2" t="s">
        <v>169</v>
      </c>
      <c r="E12" s="2" t="s">
        <v>170</v>
      </c>
      <c r="F12" s="2" t="s">
        <v>171</v>
      </c>
      <c r="G12" s="2" t="s">
        <v>172</v>
      </c>
      <c r="H12" s="2"/>
      <c r="I12" s="2" t="s">
        <v>173</v>
      </c>
      <c r="J12" s="2"/>
      <c r="K12" s="2"/>
      <c r="L12" s="2"/>
      <c r="M12" s="2"/>
      <c r="N12" s="2"/>
      <c r="O12" s="2" t="s">
        <v>174</v>
      </c>
      <c r="P12" s="2" t="s">
        <v>175</v>
      </c>
      <c r="Q12" s="2"/>
      <c r="R12" s="2" t="s">
        <v>176</v>
      </c>
      <c r="S12" s="2" t="s">
        <v>177</v>
      </c>
      <c r="T12" s="2" t="s">
        <v>178</v>
      </c>
      <c r="U12" s="2"/>
      <c r="V12" s="2" t="s">
        <v>42</v>
      </c>
      <c r="W12" s="2" t="s">
        <v>179</v>
      </c>
    </row>
    <row r="13" customFormat="false" ht="158.2" hidden="false" customHeight="false" outlineLevel="0" collapsed="false">
      <c r="A13" s="2" t="n">
        <v>12</v>
      </c>
      <c r="B13" s="3" t="s">
        <v>116</v>
      </c>
      <c r="C13" s="2" t="s">
        <v>45</v>
      </c>
      <c r="D13" s="2" t="s">
        <v>180</v>
      </c>
      <c r="E13" s="2" t="s">
        <v>181</v>
      </c>
      <c r="F13" s="2" t="s">
        <v>27</v>
      </c>
      <c r="G13" s="4" t="s">
        <v>182</v>
      </c>
      <c r="H13" s="2"/>
      <c r="I13" s="2" t="s">
        <v>183</v>
      </c>
      <c r="J13" s="2"/>
      <c r="K13" s="2"/>
      <c r="L13" s="2"/>
      <c r="M13" s="2"/>
      <c r="N13" s="2"/>
      <c r="O13" s="2" t="s">
        <v>184</v>
      </c>
      <c r="P13" s="2" t="s">
        <v>185</v>
      </c>
      <c r="Q13" s="2"/>
      <c r="R13" s="2" t="s">
        <v>186</v>
      </c>
      <c r="S13" s="2" t="s">
        <v>187</v>
      </c>
      <c r="T13" s="2" t="s">
        <v>188</v>
      </c>
      <c r="U13" s="2"/>
      <c r="V13" s="2" t="s">
        <v>42</v>
      </c>
      <c r="W13" s="2" t="s">
        <v>189</v>
      </c>
    </row>
    <row r="14" customFormat="false" ht="158.2" hidden="false" customHeight="false" outlineLevel="0" collapsed="false">
      <c r="A14" s="2" t="n">
        <v>13</v>
      </c>
      <c r="B14" s="3" t="s">
        <v>116</v>
      </c>
      <c r="C14" s="2" t="s">
        <v>45</v>
      </c>
      <c r="D14" s="2" t="s">
        <v>190</v>
      </c>
      <c r="E14" s="2" t="s">
        <v>191</v>
      </c>
      <c r="F14" s="2" t="s">
        <v>192</v>
      </c>
      <c r="G14" s="2" t="s">
        <v>193</v>
      </c>
      <c r="H14" s="2"/>
      <c r="I14" s="2" t="s">
        <v>194</v>
      </c>
      <c r="J14" s="2"/>
      <c r="K14" s="2"/>
      <c r="L14" s="2"/>
      <c r="M14" s="2"/>
      <c r="N14" s="2"/>
      <c r="O14" s="2" t="s">
        <v>195</v>
      </c>
      <c r="P14" s="2" t="s">
        <v>196</v>
      </c>
      <c r="Q14" s="2" t="s">
        <v>197</v>
      </c>
      <c r="R14" s="2" t="s">
        <v>198</v>
      </c>
      <c r="S14" s="2" t="s">
        <v>199</v>
      </c>
      <c r="T14" s="2" t="s">
        <v>200</v>
      </c>
      <c r="U14" s="2"/>
      <c r="V14" s="2" t="s">
        <v>42</v>
      </c>
      <c r="W14" s="2" t="s">
        <v>201</v>
      </c>
    </row>
    <row r="15" customFormat="false" ht="124.6" hidden="false" customHeight="false" outlineLevel="0" collapsed="false">
      <c r="A15" s="2" t="n">
        <v>14</v>
      </c>
      <c r="B15" s="3" t="s">
        <v>202</v>
      </c>
      <c r="C15" s="2" t="s">
        <v>45</v>
      </c>
      <c r="D15" s="2" t="s">
        <v>203</v>
      </c>
      <c r="E15" s="2" t="s">
        <v>204</v>
      </c>
      <c r="F15" s="2" t="s">
        <v>205</v>
      </c>
      <c r="G15" s="2"/>
      <c r="H15" s="4" t="s">
        <v>206</v>
      </c>
      <c r="I15" s="2" t="s">
        <v>207</v>
      </c>
      <c r="J15" s="2"/>
      <c r="K15" s="2"/>
      <c r="L15" s="2" t="s">
        <v>208</v>
      </c>
      <c r="M15" s="2"/>
      <c r="N15" s="2"/>
      <c r="O15" s="2" t="s">
        <v>209</v>
      </c>
      <c r="P15" s="2" t="s">
        <v>67</v>
      </c>
      <c r="Q15" s="2" t="s">
        <v>210</v>
      </c>
      <c r="R15" s="2" t="s">
        <v>211</v>
      </c>
      <c r="S15" s="2" t="s">
        <v>212</v>
      </c>
      <c r="T15" s="2" t="s">
        <v>213</v>
      </c>
      <c r="U15" s="2"/>
      <c r="V15" s="2" t="s">
        <v>42</v>
      </c>
      <c r="W15" s="2" t="s">
        <v>214</v>
      </c>
    </row>
    <row r="16" customFormat="false" ht="102.2" hidden="false" customHeight="false" outlineLevel="0" collapsed="false">
      <c r="A16" s="2" t="n">
        <v>15</v>
      </c>
      <c r="B16" s="3" t="s">
        <v>202</v>
      </c>
      <c r="C16" s="2" t="s">
        <v>45</v>
      </c>
      <c r="D16" s="2"/>
      <c r="E16" s="2" t="s">
        <v>215</v>
      </c>
      <c r="F16" s="2" t="s">
        <v>216</v>
      </c>
      <c r="G16" s="2"/>
      <c r="H16" s="2"/>
      <c r="I16" s="2" t="s">
        <v>217</v>
      </c>
      <c r="J16" s="2"/>
      <c r="K16" s="2"/>
      <c r="L16" s="2"/>
      <c r="M16" s="2"/>
      <c r="N16" s="2"/>
      <c r="O16" s="2"/>
      <c r="P16" s="2" t="s">
        <v>67</v>
      </c>
      <c r="Q16" s="2" t="s">
        <v>218</v>
      </c>
      <c r="R16" s="2" t="s">
        <v>219</v>
      </c>
      <c r="S16" s="2" t="s">
        <v>220</v>
      </c>
      <c r="T16" s="2" t="s">
        <v>221</v>
      </c>
      <c r="U16" s="2"/>
      <c r="V16" s="2" t="s">
        <v>42</v>
      </c>
      <c r="W16" s="2" t="s">
        <v>222</v>
      </c>
    </row>
    <row r="17" customFormat="false" ht="79.85" hidden="false" customHeight="false" outlineLevel="0" collapsed="false">
      <c r="A17" s="2" t="n">
        <v>16</v>
      </c>
      <c r="B17" s="3" t="s">
        <v>223</v>
      </c>
      <c r="C17" s="2" t="s">
        <v>60</v>
      </c>
      <c r="D17" s="2" t="s">
        <v>224</v>
      </c>
      <c r="E17" s="2" t="s">
        <v>225</v>
      </c>
      <c r="F17" s="2" t="s">
        <v>27</v>
      </c>
      <c r="G17" s="4" t="s">
        <v>226</v>
      </c>
      <c r="H17" s="4" t="s">
        <v>227</v>
      </c>
      <c r="I17" s="2" t="s">
        <v>228</v>
      </c>
      <c r="J17" s="2"/>
      <c r="K17" s="2"/>
      <c r="L17" s="2"/>
      <c r="M17" s="2"/>
      <c r="N17" s="2"/>
      <c r="O17" s="2" t="s">
        <v>229</v>
      </c>
      <c r="P17" s="2" t="s">
        <v>230</v>
      </c>
      <c r="Q17" s="2" t="s">
        <v>231</v>
      </c>
      <c r="R17" s="2" t="s">
        <v>232</v>
      </c>
      <c r="S17" s="2" t="s">
        <v>233</v>
      </c>
      <c r="T17" s="2" t="s">
        <v>234</v>
      </c>
      <c r="U17" s="2"/>
      <c r="V17" s="2" t="s">
        <v>42</v>
      </c>
      <c r="W17" s="2" t="s">
        <v>235</v>
      </c>
    </row>
  </sheetData>
  <autoFilter ref="A1:W17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www.kava.cn"/>
    <hyperlink ref="G7" r:id="rId7" display="www.lamerbeauty.uk ; www.rsgroup.cn"/>
    <hyperlink ref="G8" r:id="rId8" display="https://www.aircospascual-anjac.com"/>
    <hyperlink ref="G9" r:id="rId9" display="https://www.desjardin.fr"/>
    <hyperlink ref="H9" r:id="rId10" display="https://www.desjardin.fr/en/categories/cosmetic-packaging"/>
    <hyperlink ref="G10" r:id="rId11" display="www.effervescence-lab.com"/>
    <hyperlink ref="G13" r:id="rId12" display="https://simah-cosmetiques.fr"/>
    <hyperlink ref="H15" r:id="rId13" display="https://welcon.kocca.kr/en/directory/company/cosplan-inc--5601"/>
    <hyperlink ref="G17" r:id="rId14" display="https://iwasecosfa.eu"/>
    <hyperlink ref="H17" r:id="rId15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236</v>
      </c>
      <c r="C1" s="5" t="s">
        <v>237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COUNTIF(Контакты!$B$2:$B$17,A2)</f>
        <v>1</v>
      </c>
      <c r="C2" s="6" t="n">
        <f aca="false">COUNTIFS(Контакты!$B$2:$B$17,A2,Контакты!$U$2:$U$17,"Высокий")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COUNTIF(Контакты!$B$2:$B$17,A3)</f>
        <v>5</v>
      </c>
      <c r="C3" s="6" t="n">
        <f aca="false">COUNTIFS(Контакты!$B$2:$B$17,A3,Контакты!$U$2:$U$17,"Высокий")</f>
        <v>3</v>
      </c>
    </row>
    <row r="4" customFormat="false" ht="15" hidden="false" customHeight="false" outlineLevel="0" collapsed="false">
      <c r="A4" s="6" t="s">
        <v>116</v>
      </c>
      <c r="B4" s="6" t="n">
        <f aca="false">COUNTIF(Контакты!$B$2:$B$17,A4)</f>
        <v>7</v>
      </c>
      <c r="C4" s="6" t="n">
        <f aca="false">COUNTIFS(Контакты!$B$2:$B$17,A4,Контакты!$U$2:$U$17,"Высокий")</f>
        <v>1</v>
      </c>
    </row>
    <row r="5" customFormat="false" ht="15" hidden="false" customHeight="false" outlineLevel="0" collapsed="false">
      <c r="A5" s="6" t="s">
        <v>202</v>
      </c>
      <c r="B5" s="6" t="n">
        <f aca="false">COUNTIF(Контакты!$B$2:$B$17,A5)</f>
        <v>2</v>
      </c>
      <c r="C5" s="6" t="n">
        <f aca="false">COUNTIFS(Контакты!$B$2:$B$17,A5,Контакты!$U$2:$U$17,"Высокий")</f>
        <v>0</v>
      </c>
    </row>
    <row r="6" customFormat="false" ht="15" hidden="false" customHeight="false" outlineLevel="0" collapsed="false">
      <c r="A6" s="6" t="s">
        <v>223</v>
      </c>
      <c r="B6" s="6" t="n">
        <f aca="false">COUNTIF(Контакты!$B$2:$B$17,A6)</f>
        <v>1</v>
      </c>
      <c r="C6" s="6" t="n">
        <f aca="false">COUNTIFS(Контакты!$B$2:$B$17,A6,Контакты!$U$2:$U$17,"Высокий")</f>
        <v>0</v>
      </c>
    </row>
    <row r="7" customFormat="false" ht="15" hidden="false" customHeight="false" outlineLevel="0" collapsed="false">
      <c r="A7" s="7" t="s">
        <v>238</v>
      </c>
      <c r="B7" s="7" t="n">
        <f aca="false">SUM(B2:B6)</f>
        <v>16</v>
      </c>
      <c r="C7" s="7" t="n">
        <f aca="false">SUM(C2:C6)</f>
        <v>4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236</v>
      </c>
      <c r="C9" s="6"/>
    </row>
    <row r="10" customFormat="false" ht="15" hidden="false" customHeight="false" outlineLevel="0" collapsed="false">
      <c r="A10" s="6" t="s">
        <v>45</v>
      </c>
      <c r="B10" s="6" t="n">
        <f aca="false">COUNTIF(Контакты!$C$2:$C$17,A10)</f>
        <v>8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COUNTIF(Контакты!$C$2:$C$17,A11)</f>
        <v>1</v>
      </c>
      <c r="C11" s="6"/>
    </row>
    <row r="12" customFormat="false" ht="15" hidden="false" customHeight="false" outlineLevel="0" collapsed="false">
      <c r="A12" s="6" t="s">
        <v>144</v>
      </c>
      <c r="B12" s="6" t="n">
        <f aca="false">COUNTIF(Контакты!$C$2:$C$17,A12)</f>
        <v>1</v>
      </c>
      <c r="C12" s="6"/>
    </row>
    <row r="13" customFormat="false" ht="15" hidden="false" customHeight="false" outlineLevel="0" collapsed="false">
      <c r="A13" s="6" t="s">
        <v>60</v>
      </c>
      <c r="B13" s="6" t="n">
        <f aca="false">COUNTIF(Контакты!$C$2:$C$17,A13)</f>
        <v>3</v>
      </c>
      <c r="C13" s="6"/>
    </row>
    <row r="14" customFormat="false" ht="15" hidden="false" customHeight="false" outlineLevel="0" collapsed="false">
      <c r="A14" s="6" t="s">
        <v>72</v>
      </c>
      <c r="B14" s="6" t="n">
        <f aca="false">COUNTIF(Контакты!$C$2:$C$17,A14)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239</v>
      </c>
      <c r="C1" s="5" t="s">
        <v>240</v>
      </c>
      <c r="D1" s="5" t="s">
        <v>241</v>
      </c>
    </row>
    <row r="2" customFormat="false" ht="35.05" hidden="false" customHeight="false" outlineLevel="0" collapsed="false">
      <c r="A2" s="8" t="s">
        <v>242</v>
      </c>
      <c r="B2" s="9" t="s">
        <v>243</v>
      </c>
      <c r="C2" s="9" t="s">
        <v>244</v>
      </c>
      <c r="D2" s="9" t="s">
        <v>245</v>
      </c>
    </row>
    <row r="3" customFormat="false" ht="15" hidden="false" customHeight="false" outlineLevel="0" collapsed="false">
      <c r="A3" s="9" t="s">
        <v>246</v>
      </c>
      <c r="B3" s="9" t="s">
        <v>243</v>
      </c>
      <c r="C3" s="9" t="s">
        <v>247</v>
      </c>
      <c r="D3" s="9" t="s">
        <v>245</v>
      </c>
    </row>
    <row r="4" customFormat="false" ht="23.85" hidden="false" customHeight="false" outlineLevel="0" collapsed="false">
      <c r="A4" s="8" t="s">
        <v>248</v>
      </c>
      <c r="B4" s="9" t="s">
        <v>60</v>
      </c>
      <c r="C4" s="9" t="s">
        <v>249</v>
      </c>
      <c r="D4" s="9" t="s">
        <v>250</v>
      </c>
    </row>
    <row r="5" customFormat="false" ht="35.05" hidden="false" customHeight="false" outlineLevel="0" collapsed="false">
      <c r="A5" s="9" t="s">
        <v>251</v>
      </c>
      <c r="B5" s="9" t="s">
        <v>252</v>
      </c>
      <c r="C5" s="9" t="s">
        <v>253</v>
      </c>
      <c r="D5" s="9" t="s">
        <v>254</v>
      </c>
    </row>
    <row r="6" customFormat="false" ht="23.85" hidden="false" customHeight="false" outlineLevel="0" collapsed="false">
      <c r="A6" s="8" t="s">
        <v>255</v>
      </c>
      <c r="B6" s="9" t="s">
        <v>60</v>
      </c>
      <c r="C6" s="9" t="s">
        <v>256</v>
      </c>
      <c r="D6" s="9" t="s">
        <v>257</v>
      </c>
    </row>
    <row r="7" customFormat="false" ht="23.85" hidden="false" customHeight="false" outlineLevel="0" collapsed="false">
      <c r="A7" s="8" t="s">
        <v>258</v>
      </c>
      <c r="B7" s="9" t="s">
        <v>60</v>
      </c>
      <c r="C7" s="9" t="s">
        <v>259</v>
      </c>
      <c r="D7" s="9" t="s">
        <v>257</v>
      </c>
    </row>
    <row r="8" customFormat="false" ht="25.35" hidden="false" customHeight="false" outlineLevel="0" collapsed="false">
      <c r="A8" s="8" t="s">
        <v>260</v>
      </c>
      <c r="B8" s="9" t="s">
        <v>60</v>
      </c>
      <c r="C8" s="9" t="s">
        <v>261</v>
      </c>
      <c r="D8" s="9" t="s">
        <v>245</v>
      </c>
    </row>
    <row r="9" customFormat="false" ht="15" hidden="false" customHeight="false" outlineLevel="0" collapsed="false">
      <c r="A9" s="8" t="s">
        <v>262</v>
      </c>
      <c r="B9" s="9" t="s">
        <v>60</v>
      </c>
      <c r="C9" s="9" t="s">
        <v>263</v>
      </c>
      <c r="D9" s="9" t="s">
        <v>245</v>
      </c>
    </row>
    <row r="10" customFormat="false" ht="23.85" hidden="false" customHeight="false" outlineLevel="0" collapsed="false">
      <c r="A10" s="9" t="s">
        <v>264</v>
      </c>
      <c r="B10" s="9" t="s">
        <v>265</v>
      </c>
      <c r="C10" s="9" t="s">
        <v>266</v>
      </c>
      <c r="D10" s="9" t="s">
        <v>257</v>
      </c>
    </row>
    <row r="11" customFormat="false" ht="23.85" hidden="false" customHeight="false" outlineLevel="0" collapsed="false">
      <c r="A11" s="9" t="s">
        <v>267</v>
      </c>
      <c r="B11" s="9" t="s">
        <v>265</v>
      </c>
      <c r="C11" s="9" t="s">
        <v>268</v>
      </c>
      <c r="D11" s="9" t="s">
        <v>257</v>
      </c>
    </row>
    <row r="12" customFormat="false" ht="23.85" hidden="false" customHeight="false" outlineLevel="0" collapsed="false">
      <c r="A12" s="9" t="s">
        <v>269</v>
      </c>
      <c r="B12" s="9" t="s">
        <v>265</v>
      </c>
      <c r="C12" s="9" t="s">
        <v>270</v>
      </c>
      <c r="D12" s="9" t="s">
        <v>257</v>
      </c>
    </row>
    <row r="13" customFormat="false" ht="23.85" hidden="false" customHeight="false" outlineLevel="0" collapsed="false">
      <c r="A13" s="9" t="s">
        <v>271</v>
      </c>
      <c r="B13" s="9" t="s">
        <v>265</v>
      </c>
      <c r="C13" s="9" t="s">
        <v>272</v>
      </c>
      <c r="D13" s="9" t="s">
        <v>257</v>
      </c>
    </row>
    <row r="14" customFormat="false" ht="23.85" hidden="false" customHeight="false" outlineLevel="0" collapsed="false">
      <c r="A14" s="8" t="s">
        <v>273</v>
      </c>
      <c r="B14" s="9" t="s">
        <v>265</v>
      </c>
      <c r="C14" s="9" t="s">
        <v>274</v>
      </c>
      <c r="D14" s="9" t="s">
        <v>257</v>
      </c>
    </row>
    <row r="15" customFormat="false" ht="23.85" hidden="false" customHeight="false" outlineLevel="0" collapsed="false">
      <c r="A15" s="8" t="s">
        <v>275</v>
      </c>
      <c r="B15" s="9" t="s">
        <v>265</v>
      </c>
      <c r="C15" s="9" t="s">
        <v>276</v>
      </c>
      <c r="D15" s="9" t="s">
        <v>257</v>
      </c>
    </row>
    <row r="16" customFormat="false" ht="23.85" hidden="false" customHeight="false" outlineLevel="0" collapsed="false">
      <c r="A16" s="8" t="s">
        <v>277</v>
      </c>
      <c r="B16" s="9" t="s">
        <v>265</v>
      </c>
      <c r="C16" s="9" t="s">
        <v>278</v>
      </c>
      <c r="D16" s="9" t="s">
        <v>257</v>
      </c>
    </row>
    <row r="17" customFormat="false" ht="15" hidden="false" customHeight="false" outlineLevel="0" collapsed="false">
      <c r="A17" s="8" t="s">
        <v>279</v>
      </c>
      <c r="B17" s="9" t="s">
        <v>265</v>
      </c>
      <c r="C17" s="9" t="s">
        <v>280</v>
      </c>
      <c r="D17" s="9" t="s">
        <v>245</v>
      </c>
    </row>
    <row r="18" customFormat="false" ht="23.85" hidden="false" customHeight="false" outlineLevel="0" collapsed="false">
      <c r="A18" s="8" t="s">
        <v>281</v>
      </c>
      <c r="B18" s="9" t="s">
        <v>265</v>
      </c>
      <c r="C18" s="9" t="s">
        <v>282</v>
      </c>
      <c r="D18" s="9" t="s">
        <v>257</v>
      </c>
    </row>
    <row r="19" customFormat="false" ht="23.85" hidden="false" customHeight="false" outlineLevel="0" collapsed="false">
      <c r="A19" s="8" t="s">
        <v>283</v>
      </c>
      <c r="B19" s="9" t="s">
        <v>265</v>
      </c>
      <c r="C19" s="9" t="s">
        <v>284</v>
      </c>
      <c r="D19" s="9" t="s">
        <v>257</v>
      </c>
    </row>
    <row r="20" customFormat="false" ht="23.85" hidden="false" customHeight="false" outlineLevel="0" collapsed="false">
      <c r="A20" s="8" t="s">
        <v>285</v>
      </c>
      <c r="B20" s="9" t="s">
        <v>265</v>
      </c>
      <c r="C20" s="9" t="s">
        <v>284</v>
      </c>
      <c r="D20" s="9" t="s">
        <v>257</v>
      </c>
    </row>
    <row r="21" customFormat="false" ht="15" hidden="false" customHeight="false" outlineLevel="0" collapsed="false">
      <c r="A21" s="8" t="s">
        <v>286</v>
      </c>
      <c r="B21" s="9" t="s">
        <v>265</v>
      </c>
      <c r="C21" s="9" t="s">
        <v>287</v>
      </c>
      <c r="D21" s="9" t="s">
        <v>245</v>
      </c>
    </row>
    <row r="22" customFormat="false" ht="23.85" hidden="false" customHeight="false" outlineLevel="0" collapsed="false">
      <c r="A22" s="8" t="s">
        <v>288</v>
      </c>
      <c r="B22" s="9" t="s">
        <v>265</v>
      </c>
      <c r="C22" s="9" t="s">
        <v>289</v>
      </c>
      <c r="D22" s="9" t="s">
        <v>257</v>
      </c>
    </row>
    <row r="23" customFormat="false" ht="15" hidden="false" customHeight="false" outlineLevel="0" collapsed="false">
      <c r="A23" s="8" t="s">
        <v>290</v>
      </c>
      <c r="B23" s="9" t="s">
        <v>265</v>
      </c>
      <c r="C23" s="9" t="s">
        <v>291</v>
      </c>
      <c r="D23" s="9" t="s">
        <v>245</v>
      </c>
    </row>
    <row r="24" customFormat="false" ht="23.85" hidden="false" customHeight="false" outlineLevel="0" collapsed="false">
      <c r="A24" s="8" t="s">
        <v>292</v>
      </c>
      <c r="B24" s="9" t="s">
        <v>265</v>
      </c>
      <c r="C24" s="9" t="s">
        <v>282</v>
      </c>
      <c r="D24" s="9" t="s">
        <v>257</v>
      </c>
    </row>
    <row r="25" customFormat="false" ht="23.85" hidden="false" customHeight="false" outlineLevel="0" collapsed="false">
      <c r="A25" s="8" t="s">
        <v>293</v>
      </c>
      <c r="B25" s="9" t="s">
        <v>265</v>
      </c>
      <c r="C25" s="9" t="s">
        <v>294</v>
      </c>
      <c r="D25" s="9" t="s">
        <v>257</v>
      </c>
    </row>
    <row r="26" customFormat="false" ht="23.85" hidden="false" customHeight="false" outlineLevel="0" collapsed="false">
      <c r="A26" s="9" t="s">
        <v>295</v>
      </c>
      <c r="B26" s="9" t="s">
        <v>265</v>
      </c>
      <c r="C26" s="9" t="s">
        <v>284</v>
      </c>
      <c r="D26" s="9" t="s">
        <v>257</v>
      </c>
    </row>
    <row r="27" customFormat="false" ht="23.85" hidden="false" customHeight="false" outlineLevel="0" collapsed="false">
      <c r="A27" s="9" t="s">
        <v>296</v>
      </c>
      <c r="B27" s="9" t="s">
        <v>265</v>
      </c>
      <c r="C27" s="9" t="s">
        <v>297</v>
      </c>
      <c r="D27" s="9" t="s">
        <v>257</v>
      </c>
    </row>
    <row r="28" customFormat="false" ht="23.85" hidden="false" customHeight="false" outlineLevel="0" collapsed="false">
      <c r="A28" s="8" t="s">
        <v>298</v>
      </c>
      <c r="B28" s="9" t="s">
        <v>265</v>
      </c>
      <c r="C28" s="9" t="s">
        <v>299</v>
      </c>
      <c r="D28" s="9" t="s">
        <v>257</v>
      </c>
    </row>
    <row r="29" customFormat="false" ht="23.85" hidden="false" customHeight="false" outlineLevel="0" collapsed="false">
      <c r="A29" s="8" t="s">
        <v>300</v>
      </c>
      <c r="B29" s="9" t="s">
        <v>265</v>
      </c>
      <c r="C29" s="9" t="s">
        <v>301</v>
      </c>
      <c r="D29" s="9" t="s">
        <v>257</v>
      </c>
    </row>
    <row r="30" customFormat="false" ht="15" hidden="false" customHeight="false" outlineLevel="0" collapsed="false">
      <c r="A30" s="8" t="s">
        <v>302</v>
      </c>
      <c r="B30" s="9" t="s">
        <v>265</v>
      </c>
      <c r="C30" s="9" t="s">
        <v>303</v>
      </c>
      <c r="D30" s="9" t="s">
        <v>245</v>
      </c>
    </row>
    <row r="31" customFormat="false" ht="15" hidden="false" customHeight="false" outlineLevel="0" collapsed="false">
      <c r="A31" s="8" t="s">
        <v>304</v>
      </c>
      <c r="B31" s="9" t="s">
        <v>265</v>
      </c>
      <c r="C31" s="9" t="s">
        <v>305</v>
      </c>
      <c r="D31" s="9" t="s">
        <v>245</v>
      </c>
    </row>
    <row r="32" customFormat="false" ht="23.85" hidden="false" customHeight="false" outlineLevel="0" collapsed="false">
      <c r="A32" s="9" t="s">
        <v>306</v>
      </c>
      <c r="B32" s="9" t="s">
        <v>265</v>
      </c>
      <c r="C32" s="9" t="s">
        <v>307</v>
      </c>
      <c r="D32" s="9" t="s">
        <v>257</v>
      </c>
    </row>
    <row r="33" customFormat="false" ht="23.85" hidden="false" customHeight="false" outlineLevel="0" collapsed="false">
      <c r="A33" s="9" t="s">
        <v>308</v>
      </c>
      <c r="B33" s="9" t="s">
        <v>265</v>
      </c>
      <c r="C33" s="9" t="s">
        <v>284</v>
      </c>
      <c r="D33" s="9" t="s">
        <v>257</v>
      </c>
    </row>
    <row r="34" customFormat="false" ht="23.85" hidden="false" customHeight="false" outlineLevel="0" collapsed="false">
      <c r="A34" s="9" t="s">
        <v>309</v>
      </c>
      <c r="B34" s="9" t="s">
        <v>265</v>
      </c>
      <c r="C34" s="9" t="s">
        <v>310</v>
      </c>
      <c r="D34" s="9" t="s">
        <v>257</v>
      </c>
    </row>
    <row r="35" customFormat="false" ht="15" hidden="false" customHeight="false" outlineLevel="0" collapsed="false">
      <c r="A35" s="9" t="s">
        <v>311</v>
      </c>
      <c r="B35" s="9" t="s">
        <v>252</v>
      </c>
      <c r="C35" s="9"/>
      <c r="D35" s="9" t="s">
        <v>312</v>
      </c>
    </row>
    <row r="36" customFormat="false" ht="15" hidden="false" customHeight="false" outlineLevel="0" collapsed="false">
      <c r="A36" s="8" t="s">
        <v>313</v>
      </c>
      <c r="B36" s="9" t="s">
        <v>252</v>
      </c>
      <c r="C36" s="9"/>
      <c r="D36" s="9" t="s">
        <v>312</v>
      </c>
    </row>
    <row r="37" customFormat="false" ht="15" hidden="false" customHeight="false" outlineLevel="0" collapsed="false">
      <c r="A37" s="8" t="s">
        <v>314</v>
      </c>
      <c r="B37" s="9" t="s">
        <v>252</v>
      </c>
      <c r="C37" s="9"/>
      <c r="D37" s="9" t="s">
        <v>312</v>
      </c>
    </row>
    <row r="38" customFormat="false" ht="15" hidden="false" customHeight="false" outlineLevel="0" collapsed="false">
      <c r="A38" s="9" t="s">
        <v>315</v>
      </c>
      <c r="B38" s="9" t="s">
        <v>252</v>
      </c>
      <c r="C38" s="9"/>
      <c r="D38" s="9" t="s">
        <v>312</v>
      </c>
    </row>
    <row r="39" customFormat="false" ht="15" hidden="false" customHeight="false" outlineLevel="0" collapsed="false">
      <c r="A39" s="9" t="s">
        <v>316</v>
      </c>
      <c r="B39" s="9" t="s">
        <v>252</v>
      </c>
      <c r="C39" s="9"/>
      <c r="D39" s="9" t="s">
        <v>312</v>
      </c>
    </row>
    <row r="40" customFormat="false" ht="15" hidden="false" customHeight="false" outlineLevel="0" collapsed="false">
      <c r="A40" s="8" t="s">
        <v>317</v>
      </c>
      <c r="B40" s="9" t="s">
        <v>252</v>
      </c>
      <c r="C40" s="9"/>
      <c r="D40" s="9" t="s">
        <v>312</v>
      </c>
    </row>
    <row r="41" customFormat="false" ht="15" hidden="false" customHeight="false" outlineLevel="0" collapsed="false">
      <c r="A41" s="9" t="s">
        <v>318</v>
      </c>
      <c r="B41" s="9" t="s">
        <v>252</v>
      </c>
      <c r="C41" s="9"/>
      <c r="D41" s="9" t="s">
        <v>312</v>
      </c>
    </row>
    <row r="42" customFormat="false" ht="15" hidden="false" customHeight="false" outlineLevel="0" collapsed="false">
      <c r="A42" s="9" t="s">
        <v>319</v>
      </c>
      <c r="B42" s="9" t="s">
        <v>252</v>
      </c>
      <c r="C42" s="9" t="s">
        <v>320</v>
      </c>
      <c r="D42" s="9" t="s">
        <v>312</v>
      </c>
    </row>
    <row r="43" customFormat="false" ht="15" hidden="false" customHeight="false" outlineLevel="0" collapsed="false">
      <c r="A43" s="8" t="s">
        <v>321</v>
      </c>
      <c r="B43" s="9" t="s">
        <v>252</v>
      </c>
      <c r="C43" s="9"/>
      <c r="D43" s="9" t="s">
        <v>312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2026-10-14T14:21:59Z</dcterms:created>
  <dc:creator>openpyxl</dc:creator>
  <dc:description/>
  <dc:language>en-US</dc:language>
  <cp:lastModifiedBy/>
  <dcterms:modified xsi:type="dcterms:W3CDTF">2026-10-14T14:21:59Z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