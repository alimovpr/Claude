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онтакты" sheetId="1" state="visible" r:id="rId3"/>
    <sheet name="По странам" sheetId="2" state="visible" r:id="rId4"/>
  </sheets>
  <definedNames>
    <definedName function="false" hidden="true" localSheetId="0" name="_xlnm._FilterDatabase" vbProcedure="false">Контакты!$A$1:$W$14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<sst xmlns="http://schemas.openxmlformats.org/spreadsheetml/2006/main" count="246" uniqueCount="198">
  <si>
    <t xml:space="preserve">№</t>
  </si>
  <si>
    <t xml:space="preserve">Страна производства</t>
  </si>
  <si>
    <t xml:space="preserve">Тип компании</t>
  </si>
  <si>
    <t xml:space="preserve">Город / регион</t>
  </si>
  <si>
    <t xml:space="preserve">Компания</t>
  </si>
  <si>
    <t xml:space="preserve">Выставка / стенд</t>
  </si>
  <si>
    <t xml:space="preserve">Сайт</t>
  </si>
  <si>
    <t xml:space="preserve">Каталог</t>
  </si>
  <si>
    <t xml:space="preserve">Что производят</t>
  </si>
  <si>
    <t xml:space="preserve">Контакт (по визитке)</t>
  </si>
  <si>
    <t xml:space="preserve">Как представился</t>
  </si>
  <si>
    <t xml:space="preserve">Должность</t>
  </si>
  <si>
    <t xml:space="preserve">Email</t>
  </si>
  <si>
    <t xml:space="preserve">Телефон</t>
  </si>
  <si>
    <t xml:space="preserve">Адрес / офисы</t>
  </si>
  <si>
    <t xml:space="preserve">Пометки на визитке</t>
  </si>
  <si>
    <t xml:space="preserve">Что обсуждали / интерес</t>
  </si>
  <si>
    <t xml:space="preserve">Найдено в интернете</t>
  </si>
  <si>
    <t xml:space="preserve">Источники</t>
  </si>
  <si>
    <t xml:space="preserve">Следующий шаг</t>
  </si>
  <si>
    <t xml:space="preserve">Приоритет</t>
  </si>
  <si>
    <t xml:space="preserve">Дата</t>
  </si>
  <si>
    <t xml:space="preserve">Фото</t>
  </si>
  <si>
    <t xml:space="preserve">Германия</t>
  </si>
  <si>
    <t xml:space="preserve">Логистика</t>
  </si>
  <si>
    <t xml:space="preserve">Головной офис группы: Кемптен, Германия. Французский офис: Шанверри (Вандея); косметический склад — Жанвиль-ан-Бос</t>
  </si>
  <si>
    <t xml:space="preserve">DACHSER France S.A.S. (DACHSER Cosmetics Logistics)</t>
  </si>
  <si>
    <t xml:space="preserve">Cosmetic 360</t>
  </si>
  <si>
    <t xml:space="preserve">https://www.dachser.fr</t>
  </si>
  <si>
    <t xml:space="preserve">https://www.dachser.com/en/cosmetic-logistics</t>
  </si>
  <si>
    <t xml:space="preserve">Логистика для косметики и парфюмерии: доставка по Европе и миру, контрактное складирование, авиа- и морские перевозки. Доп. услуги: распаковка паллет, возвраты и нераспроданное, сборка и установка дисплеев, комплектация коробок</t>
  </si>
  <si>
    <t xml:space="preserve">Alexandre Ilias</t>
  </si>
  <si>
    <t xml:space="preserve">Business Development Manager, DACHSER Cosmetics Logistics — Франция, Магриб, Турция</t>
  </si>
  <si>
    <t xml:space="preserve">alexandre.ilias@dachser.com</t>
  </si>
  <si>
    <t xml:space="preserve">+33 6 07 86 48 57</t>
  </si>
  <si>
    <t xml:space="preserve">DACHSER France S.A.S., Regional Head Office France &amp; Maghreb, 1 avenue de l'Europe, CS 80007 – La Verrie, 85130 Chanverrie, Франция</t>
  </si>
  <si>
    <t xml:space="preserve">Визитка</t>
  </si>
  <si>
    <t xml:space="preserve">Не общались — взяли визитку на всякий случай</t>
  </si>
  <si>
    <t xml:space="preserve">DACHSER — крупный немецкий логистический оператор. Отраслевое решение Cosmetics Logistics запущено сначала во Франции, затем в Испании и Португалии. Склады заточены под косметику, прямой доступ к европейской транспортной сети. Оценка EcoVadis, статус Full AEO (упрощённое таможенное оформление), ISO 27001; видеонаблюдение на складах, мониторинг машин; электромобили для доставки.</t>
  </si>
  <si>
    <t xml:space="preserve">https://www.dachser.com/en/cosmetic-logistics ; https://www.cosmetic-valley.com/en/annuaire-entreprises/dachser-cosmetics-logistics ; https://www.dachser.com/en/mediaroom/Cosmetics-in-expert-hands-21097 ; https://www.industries-cosmetiques.fr/en/a-new-logistics-solution-for-cosmetics-professionals/</t>
  </si>
  <si>
    <t xml:space="preserve">На случай поставок из Франции/ЕС: запросить условия и тарифы на доставку и складирование</t>
  </si>
  <si>
    <t xml:space="preserve">Низкий</t>
  </si>
  <si>
    <t xml:space="preserve">2026-10-14</t>
  </si>
  <si>
    <t xml:space="preserve">photos/005_dachser.jpg</t>
  </si>
  <si>
    <t xml:space="preserve">Китай</t>
  </si>
  <si>
    <t xml:space="preserve">Сырьё / ингредиенты</t>
  </si>
  <si>
    <t xml:space="preserve">Шанхай</t>
  </si>
  <si>
    <t xml:space="preserve">CHANDO Group (Shanghai CHANDO Group Co., Ltd., ранее JALA Group)</t>
  </si>
  <si>
    <t xml:space="preserve">Cosmetic 360, стенд GB64 (Innovation Route — Raw Materials), зона C-Beauty Journey</t>
  </si>
  <si>
    <t xml:space="preserve">https://en.chandogroup.com</t>
  </si>
  <si>
    <r>
      <rPr>
        <sz val="10"/>
        <rFont val="Arial"/>
        <family val="0"/>
        <charset val="1"/>
      </rPr>
      <t xml:space="preserve">Крупная китайская косметическая группа (основана в 2001 г. в Шанхае). На выставке — собственные запатентованные ингредиенты: HiMurchaSin® пептид (антивозрастной, разработан с помощью ИИ, из полярных дрожжей), PDRN, Space Ginseng Yeast, экстракт горечавки (Gentiana Veitchiorum), Hicustos®, BIO-Revive, Photo-Shield 509. Свои бренды: CHANDO (</t>
    </r>
    <r>
      <rPr>
        <sz val="10"/>
        <rFont val="WenQuanYi Zen Hei"/>
        <family val="2"/>
      </rPr>
      <t xml:space="preserve">自然堂</t>
    </r>
    <r>
      <rPr>
        <sz val="10"/>
        <rFont val="Arial"/>
        <family val="0"/>
        <charset val="1"/>
      </rPr>
      <t xml:space="preserve">), MAYSU, Biorrier, Spring Summer, imine</t>
    </r>
  </si>
  <si>
    <t xml:space="preserve">Шанхай, Китай</t>
  </si>
  <si>
    <t xml:space="preserve">Фото стенда</t>
  </si>
  <si>
    <t xml:space="preserve">В январе 2024 JALA Group переименована в Shanghai CHANDO Group. Пептид HiMurchaSin найден вместе с институтом Университета Цинхуа: ИИ перебрал 2,8 млн белков дрожжей; используется в 7-м поколении их антивозрастной сыворотки (апрель 2026). 20 научных докладов на конгрессе IFSCC 2026. Данные об эффективности — из пресс-релизов компании. Неясно, продают ли ингредиенты сторонним брендам и делают ли контрактное производство — уточнить.</t>
  </si>
  <si>
    <t xml:space="preserve">https://en.chandogroup.com/news/40 ; https://kyodonewsprwire.jp/release/202610067388 ; https://www.chinadailyhk.com/article/640844</t>
  </si>
  <si>
    <t xml:space="preserve">Уточнить, продают ли свои ингредиенты (HiMurchaSin, PDRN) другим брендам и на каких условиях; есть ли OEM</t>
  </si>
  <si>
    <t xml:space="preserve">photos/012_chando.jpg</t>
  </si>
  <si>
    <t xml:space="preserve">Упаковка</t>
  </si>
  <si>
    <t xml:space="preserve">Гонконг (офис); производство — партнёрские фабрики в Китае</t>
  </si>
  <si>
    <t xml:space="preserve">Cypress Sourcing Company Ltd.</t>
  </si>
  <si>
    <t xml:space="preserve">Cosmetic 360, стенд GB60 (Innovation Route — Packaging &amp; Packing)</t>
  </si>
  <si>
    <t xml:space="preserve">Упаковка для парфюма и косметики: подарочные и жёсткие коробки (в т.ч. с двойным открыванием, деревянные), экологичная фольга, устойчивая упаковка; на стенде также флаконы для парфюма, диффузоры, стеклянные подсвечники, тубы. Работают как поставщик-посредник через партнёрские фабрики</t>
  </si>
  <si>
    <t xml:space="preserve">Гонконг</t>
  </si>
  <si>
    <t xml:space="preserve">Добавили в WeChat</t>
  </si>
  <si>
    <t xml:space="preserve">Делают упаковку для парфюма. Могут отправлять в Россию. Минимальная партия — 10 000 шт.</t>
  </si>
  <si>
    <t xml:space="preserve">Основана в 2004 г. в Гонконге, поставщик декоративной/подарочной упаковки через 7 партнёрских фабрик: картонные жёсткие и складные коробки, жестяные коробки, пластиковые пакеты, вакуумная формовка. По таможенным данным США — 63 поставки (бумага/картон, пластик, керамика). То есть это торговая компания, а не сама фабрика — уточнить, какая фабрика будет делать заказ.</t>
  </si>
  <si>
    <t xml:space="preserve">https://directory.designnews.com/cypress-sourcing-company-ltd-comp225768.html ; https://cn.panjiva.com/Cypress-Sourcing-Co-Ltd/67317206</t>
  </si>
  <si>
    <t xml:space="preserve">Связь в WeChat: каталог упаковки для парфюма, цены на 10 000 шт., сроки и стоимость доставки в Россию, образцы; уточнить фабрику-производителя</t>
  </si>
  <si>
    <t xml:space="preserve">Высокий</t>
  </si>
  <si>
    <t xml:space="preserve">photos/013_cypress.jpg</t>
  </si>
  <si>
    <t xml:space="preserve">Куньшань, пров. Цзянсу (≈50 км от Шанхая)</t>
  </si>
  <si>
    <t xml:space="preserve">KAVA International Limited</t>
  </si>
  <si>
    <t xml:space="preserve">www.kava.cn</t>
  </si>
  <si>
    <t xml:space="preserve">Упаковка для косметики; печать складных картонных коробок (офсет, с 2024 г. — флексо-линия Edale FL5 + вырубка FDC-600: печать, вырубка, тиснение Брайля, холодная фольга, лак, ламинация за один проход)</t>
  </si>
  <si>
    <t xml:space="preserve">Haoran Wang</t>
  </si>
  <si>
    <t xml:space="preserve">Райан (владелец)</t>
  </si>
  <si>
    <t xml:space="preserve">Chief Executive Officer</t>
  </si>
  <si>
    <t xml:space="preserve">wanghaoran@kava.cn</t>
  </si>
  <si>
    <t xml:space="preserve">Производство: No. 16 South Huacheng Road, Lujia, Kunshan, Jiangsu, China. Международный офис: Гонконг</t>
  </si>
  <si>
    <t xml:space="preserve">«Эстелаудер», «упаковка для косметики»</t>
  </si>
  <si>
    <t xml:space="preserve">Упаковка для косметики — то, что нам нужно</t>
  </si>
  <si>
    <t xml:space="preserve">Июль 2024: KAVA — первый в Китае заказчик британских флексо-машин Edale (FL5 + FDC-600), до этого печатали складные коробки только офсетом. В прессе CEO назван «Jiangua Wang» — уточнить. Сайт kava.cn на момент проверки не открылся.</t>
  </si>
  <si>
    <t xml:space="preserve">https://www.thepackagingportal.com/?p=29277 ; https://industriagraficaonline.com/articulo/37705/</t>
  </si>
  <si>
    <t xml:space="preserve">Запросить каталог/образцы косметической упаковки, MOQ, цены; уточнить работу с Estée Lauder</t>
  </si>
  <si>
    <t xml:space="preserve">photos/001_kava.jpg</t>
  </si>
  <si>
    <t xml:space="preserve">Контрактное производство</t>
  </si>
  <si>
    <t xml:space="preserve">Хучжоу, пров. Чжэцзян (фабрика); офис — Линьань (Ханчжоу), Чжэцзян</t>
  </si>
  <si>
    <t xml:space="preserve">Lamer Beauty (Huzhou) Co., Ltd / Zhejiang Bohan International Co., Ltd</t>
  </si>
  <si>
    <t xml:space="preserve">Cosmetic 360, «Beauty Ville» (китайская зона)</t>
  </si>
  <si>
    <t xml:space="preserve">www.lamerbeauty.uk ; www.rsgroup.cn</t>
  </si>
  <si>
    <t xml:space="preserve">Вероятно ODM/контрактное производство косметики (по данным о группе Lamer: парфюмерия, уход, декоративная косметика). Уточнить ассортимент</t>
  </si>
  <si>
    <t xml:space="preserve">Freda Tang</t>
  </si>
  <si>
    <t xml:space="preserve">CEO</t>
  </si>
  <si>
    <t xml:space="preserve">hzrs@rsgroup.cn ; hzrs@hzlamer.com (размыто — проверить)</t>
  </si>
  <si>
    <t xml:space="preserve">Mob/WhatsApp: +86 153 0571 6666 ; +86 138 5801 7730 (размыто — проверить)</t>
  </si>
  <si>
    <t xml:space="preserve">Офис: RM2805, Yuanxin Starry Center, Dayuan Road, Qingshanhu Sub-district, Lin'an District, Zhejiang 311300. Фабрика: No.20 Yangshanwu Road, Daixi Town, Wuxing District, Huzhou, Zhejiang 313000 (адреса размыты — проверить)</t>
  </si>
  <si>
    <t xml:space="preserve">Зашли на стенд, взяли контакты. Продукты для губ — со слов компании «легко сделать». Интересует также разработка парфюмов</t>
  </si>
  <si>
    <t xml:space="preserve">Сайт lamerbeauty.uk указывает на группу Lamer (Великобритания): её дочерняя компания Hangzhou Lamer Cosmetics делает ODM — парфюмерию, уход, косметику; выставлялась на InterCHARM 2019 (Москва). Линьань — район Ханчжоу, так что это, скорее всего, та же группа. Про Lamer Beauty (Huzhou) и Zhejiang Bohan отдельной информации не найдено.</t>
  </si>
  <si>
    <t xml:space="preserve">https://prnewswire.co.uk/news-releases/chinese-cosmetics-giant-hangzhou-lamer-cosmetics-debuts-at-intercharm-2019-872021252.html</t>
  </si>
  <si>
    <t xml:space="preserve">Написать в WhatsApp Freda Tang: каталог; парфюм — свой ли завод и парфюмеры, сертификаты IFRA; губы — образцы, MOQ, сроки; документы для ЕС (GMP ISO 22716, CPSR/PIF); условия ODM под наш бренд</t>
  </si>
  <si>
    <t xml:space="preserve">photos/006_lamer_beauty.jpg</t>
  </si>
  <si>
    <t xml:space="preserve">Франция</t>
  </si>
  <si>
    <t xml:space="preserve">Под Парижем (рядом с аэропортом Руасси — Шарль-де-Голль); есть также производство в Азии</t>
  </si>
  <si>
    <t xml:space="preserve">Desjardin Metal Packaging</t>
  </si>
  <si>
    <t xml:space="preserve">https://www.desjardin.fr</t>
  </si>
  <si>
    <t xml:space="preserve">https://www.desjardin.fr/en/categories/cosmetic-packaging</t>
  </si>
  <si>
    <t xml:space="preserve">Металлическая упаковка (жесть и алюминий) под заказ: круглые баночки с винтовой или надвижной крышкой, прямоугольные и овальные формы, крышки (в т.ч. для стеклянных банок), подарочные коробки, тревел-баночки, вакуумные жестяные контейнеры для сырья. Стандарт или индивидуальная печать/отделка. Подходит для бальзамов, кремов, твёрдых продуктов, бальзамов для губ, подарочных наборов</t>
  </si>
  <si>
    <t xml:space="preserve">contact@desjardin.fr</t>
  </si>
  <si>
    <t xml:space="preserve">Франция, рядом с аэропортом Paris Roissy-Charles-de-Gaulle</t>
  </si>
  <si>
    <t xml:space="preserve">Работают с 1848 г. Делают металлическую упаковку для фармы, косметики, еды и напитков. Партии от 5 000 шт. до нескольких миллионов. На стенде — упаковка для известных брендов: L'Occitane, Roger &amp; Gallet, Biolane, Babor, La Biosthétique, Pommade Nova и др.</t>
  </si>
  <si>
    <t xml:space="preserve">https://www.desjardin.fr/about-us?hsLang=en ; https://www.desjardin.fr/en/categories/cosmetic-packaging ; https://www.desjardin.fr/en/our-history</t>
  </si>
  <si>
    <t xml:space="preserve">Если нужны металлические баночки (бальзамы, твёрдые средства, подарочные наборы): написать на contact@desjardin.fr, запросить каталог и цены от 5 000 шт.</t>
  </si>
  <si>
    <t xml:space="preserve">photos/011_desjardin.jpg</t>
  </si>
  <si>
    <t xml:space="preserve">Разработка формул (R&amp;D)</t>
  </si>
  <si>
    <t xml:space="preserve">Авиньон</t>
  </si>
  <si>
    <t xml:space="preserve">Effervescence Lab</t>
  </si>
  <si>
    <t xml:space="preserve">Cosmetic 360, стенд FB12 (Innovation Route — Formulation)</t>
  </si>
  <si>
    <t xml:space="preserve">www.effervescence-lab.com</t>
  </si>
  <si>
    <t xml:space="preserve">Независимая R&amp;D-лаборатория: разработка формул косметики «под ключ» — создание формулы, тесты, регуляторное досье. Формулы на заказ (sur mesure) и эксклюзивные. Категории: уход за кожей, солнцезащита, уход за волосами, пенящиеся средства, тональные (teint), стики, бальзамы, стерильные формулы. Конвенциональная и органическая (bio) косметика. Акцент на сенсорику и инновационные текстуры</t>
  </si>
  <si>
    <t xml:space="preserve">contact@effervescence-lab.com</t>
  </si>
  <si>
    <t xml:space="preserve">+33 4 86 40 84 88</t>
  </si>
  <si>
    <t xml:space="preserve">Le Newton, 65 Rue Lawrence Durrell, BP 51 552, 84916 Avignon Cedex 09, Франция</t>
  </si>
  <si>
    <t xml:space="preserve">Буклет со стенда (контакты на обороте)</t>
  </si>
  <si>
    <t xml:space="preserve">Ни с кем не познакомились — только фото стенда</t>
  </si>
  <si>
    <t xml:space="preserve">Основатель и директор — Muriel Hibon (физикохимия формулирования, 20+ лет в R&amp;D косметики). Коллекции готовых основ: Sublime, Hybride, Essentia (2025). Собственное производство в открытых источниках не подтверждено — уточнить, делают ли выпуск партий или только разработку.</t>
  </si>
  <si>
    <t xml:space="preserve">https://www.industries-cosmetiques.fr/en/effervescence-lab-formulation-et-sensorialite ; https://www.luxepackmonaco.com/en/speakers/67bdab0816a05b57ffb96610 ; https://www.cosmed.fr/app/uploads/2026/03/technicienne-de-formulation.pdf</t>
  </si>
  <si>
    <t xml:space="preserve">Написать на contact@effervescence-lab.com: условия разработки формулы, сроки, есть ли собственное производство/выпуск партий</t>
  </si>
  <si>
    <t xml:space="preserve">photos/002_effervescence_lab.jpg ; photos/002b_effervescence_lab_brochure.jpg</t>
  </si>
  <si>
    <t xml:space="preserve">Лион (головной офис); лаборатория и склад — Сен-Вюльба (Эн)</t>
  </si>
  <si>
    <t xml:space="preserve">Formulance Group (Groupe Formulance)</t>
  </si>
  <si>
    <t xml:space="preserve">Cosmetic 360, стенд GB51 (Innovation Route — Raw Materials)</t>
  </si>
  <si>
    <t xml:space="preserve">Дистрибьютор косметического сырья. Направления со стенда: устойчивые альтернативы (био-пигменты чёрного цвета, натуральные замены синтетике, веганская замена ланолину, замена баттерам, 100% растительный воск); натуральные ингредиенты (эфирные и растительные масла, гидролаты, CO2-экстракты, растительные экстракты, натуральные активы); микрокапсулирование (активов и отдушек, под ключ); сырьё для ароматов и вкусов (fragrance &amp; flavour); защитные углеводороды (вазелин, парафины, белое масло); полимеры (замутнители, кондиционеры, загустители). На стенде — образцы ароматического сырья: ветивер, сандал Muhuhu, африканский бессмертник, белая вербена, Resurrection Bush; замены силикона (SILIKE)</t>
  </si>
  <si>
    <t xml:space="preserve">13 rue des Émeraudes, Лион, Франция (индекс 69006 или 69000 — уточнить)</t>
  </si>
  <si>
    <t xml:space="preserve">Фото стенда; QR-код на их LinkedIn; буклет «Jungle Forever» (сохранение тропических лесов)</t>
  </si>
  <si>
    <t xml:space="preserve">Основана в 2013 г. 4 направления: промышленность, здравоохранение, ингредиенты, парфюмерия (Fragrance). Есть натуральные замены силиконам, активы, пигменты, эфирные масла, цветочные воды, растительные масла. EcoVadis Silver, ISO 9001:2015. Полезны как поставщик сырья для парфюма (натуральные ароматические компоненты).</t>
  </si>
  <si>
    <t xml:space="preserve">https://www.cosmetic-valley.com/en/annuaire-entreprises/groupe-formulance ; https://cdn-assets.inwink.com/29c113f5-ef83-40fc-9c73-90e2bb328e9c/9673b4e4-74d3-47f5-b854-5daec598b6a6</t>
  </si>
  <si>
    <t xml:space="preserve">Найти контакт (сайт / LinkedIn); запросить каталог, особенно парфюмерное сырьё и натуральные замены — если пойдём в разработку парфюма</t>
  </si>
  <si>
    <t xml:space="preserve">photos/010_formulance.jpg</t>
  </si>
  <si>
    <t xml:space="preserve">Марсель</t>
  </si>
  <si>
    <t xml:space="preserve">Laboratoires Biotic Phocea</t>
  </si>
  <si>
    <t xml:space="preserve">Cosmetic 360, стенд GC58 (Innovation Route — Formulation)</t>
  </si>
  <si>
    <t xml:space="preserve">biotic.fr</t>
  </si>
  <si>
    <t xml:space="preserve">Private label под ключ (full service), Made in France: готовые или индивидуальные формулы; R&amp;D, упаковка, регуляторика, тесты. Производство от 400 шт. Натуральная и органическая (bio) косметика. На стенде: сыворотки (Dark Spot Serum — от пигментных пятен), масла/эликсиры во флаконах-капельницах, бальзамы, кремы; есть линейка для салонов красоты</t>
  </si>
  <si>
    <t xml:space="preserve">16-18 Boulevard Michelet, 13008 Marseille, Франция (по открытым источникам; в справочнике Cosmebio — Immeuble Le Performance, 13008 Marseille)</t>
  </si>
  <si>
    <t xml:space="preserve">Фото стенда; на стенде QR-код на форму обратной связи</t>
  </si>
  <si>
    <t xml:space="preserve">Более 10 лет специализируются на производстве натуральной и органической косметики под чужой маркой для малых и средних компаний и брендов. Есть готовая линейка «под ваш бренд» и разработка по ТЗ. Член ассоциации Cosmebio (органическая косметика). Развивают экспорт и R&amp;D.</t>
  </si>
  <si>
    <t xml:space="preserve">https://www.cosmebio.org/en/professional-information/cosmebio-members-directory/952/ ; https://www.lejournaldesentreprises.com/article/marseille-le-laboratoire-biotic-phocea-lance-une-gamme-de-cosmetiques-personnalisable-pour-les-103794 ; https://www.cosmed.fr/societes/biotic-phocea-laboratoires ; https://www.lejournaldesentreprises.com/article/coronavirus-les-laboratoires-biotic-phocea-misent-sur-lexport-et-la-rd-488787</t>
  </si>
  <si>
    <t xml:space="preserve">Запросить каталог готовых формул и цены от 400 шт.; уточнить, делают ли продукты для губ и парфюм</t>
  </si>
  <si>
    <t xml:space="preserve">photos/009_biotic_phocea.jpg</t>
  </si>
  <si>
    <t xml:space="preserve">Шартр (головной офис); производство — О-де-Франс (Невиль-ан-Феррен, под Лиллем), Нормандия; 1 завод в Польше</t>
  </si>
  <si>
    <t xml:space="preserve">Vabel Groupe</t>
  </si>
  <si>
    <t xml:space="preserve">Cosmetic 360, стенд FA31 (Innovation Route — Formulation)</t>
  </si>
  <si>
    <t xml:space="preserve">vabel.fr (не проверен)</t>
  </si>
  <si>
    <t xml:space="preserve">Полный цикл «промышленник → производитель → дистрибьютор»: разработка и производство под ключ для чужих брендов (CDMO / контрактное производство, в т.ч. private label для сетей) + свои марки. Категории: уход и косметика, парфюмерия, гигиена/салфетки, декоративная косметика (макияж). Собственная R&amp;D-лаборатория, выдув флаконов PE/PET, логистическая платформа</t>
  </si>
  <si>
    <t xml:space="preserve">Шартр, Франция</t>
  </si>
  <si>
    <t xml:space="preserve">Флаер со стенда: «Créateur de beauté, partenaire de confiance», значки сертификатов (ISO, GMP и др.)</t>
  </si>
  <si>
    <t xml:space="preserve">Ни с кем не познакомились — фото стенда и флаера</t>
  </si>
  <si>
    <t xml:space="preserve">Крупная группа: 2000+ сотрудников, ~7 производственных площадок (6 во Франции + 1 в Польше), ~300 000 м², продажи в 80 странах. Ок. 20 собственных марок: Corine de Farme, Cottage, Inessance Paris, Jacomo, Mitosyl и др. В 2023 купили Sarbec Cosmetics (700 сотрудников). Парфюмерные экстракты формулируют в Грасе. Гендиректор — Arnaud Linquette. Внимание: в сети были фейковые вакансии от имени «Vabel cosmétique» — проверять контакты по официальному сайту.</t>
  </si>
  <si>
    <t xml:space="preserve">https://www.premiumbeautynews.com/vabel-further-expands-its-vertical,27593 ; https://www.lejournaldesentreprises.com/breve/sarbec-cosmetics-passe-aux-mains-du-groupe-vabel-2069305 ; https://www.lsa-conso.fr/noel-de-corine-de-farme-a-cottage-le-groupe-vabel-cultive-l-art-des-parfums-a-la-francaise,462947 ; https://www.parispackagingweek.com/en/exhibitor/vabel-groupe-2/</t>
  </si>
  <si>
    <t xml:space="preserve">Узнать условия контрактного производства (MOQ, сроки, декоративная косметика), найти контакт отдела CDMO</t>
  </si>
  <si>
    <t xml:space="preserve">photos/004_vabel.jpg</t>
  </si>
  <si>
    <t xml:space="preserve">Южная Корея</t>
  </si>
  <si>
    <t xml:space="preserve">Сеул (район Куро-гу)</t>
  </si>
  <si>
    <t xml:space="preserve">COSPLAN Inc. (бренд DERMATHOD)</t>
  </si>
  <si>
    <t xml:space="preserve">Cosmetic 360, стенд LA31 (Innovation Route — Brands &amp; Retail), корейский павильон</t>
  </si>
  <si>
    <t xml:space="preserve">https://welcon.kocca.kr/en/directory/company/cosplan-inc--5601</t>
  </si>
  <si>
    <t xml:space="preserve">Уход за кожей (skincare), профессиональная косметика. OEM/ODM для других марок: разработка формулы, дизайн и производство под ключ, коллаборации с брендами. Специализация — функциональные упаковки и бьюти-девайсы: запатентованная ампула с микроиглами (airless, одноразовая, для домашнего ухода). Продукты на стенде: Derma Level, Derma EZ Jet, Clearance C4, O2 Tox Peel, Derma Saver Sun Protection, активатор для кожи головы. Парфюма нет; продуктов для губ в источниках не найдено</t>
  </si>
  <si>
    <t xml:space="preserve">На стенде — коммерческий директор (Directeur Commercial, имя на бейдже не читается)</t>
  </si>
  <si>
    <t xml:space="preserve">Сеул, Куро-гу, Южная Корея</t>
  </si>
  <si>
    <t xml:space="preserve">Производят для других марок; парфюма точно нет, губ, вероятно, тоже нет — в основном skincare</t>
  </si>
  <si>
    <t xml:space="preserve">Основана в 2019 г. Все процессы от R&amp;D до дизайна — в головном офисе в Сеуле. Флагман — Dermaijet Multi Effector Ampoule: airless-ампула с микроиглами, длина регулируется в два этапа. Бренд DERMATHOD — профессиональный уход для покупателей и косметологов (пилинги, пилинг-пэды, средства для кожного барьера). В 2026 г. участвовали в Pitti Fragranze (Флоренция) в зоне Code Korea при KOCCA — со skincare, не с парфюмом. Цены, MOQ и клиенты OEM в открытых источниках не найдены.</t>
  </si>
  <si>
    <t xml:space="preserve">https://welcon.kocca.kr/en/directory/company/cosplan-inc--5601 ; https://welcon.kocca.kr/en/directory/content/dermathod--10859 ; https://fragranze.pittimmagine.com/en/exhibitors/D/dermathod---code-korea ; https://bykinaesthetics.com/pages/dermathod</t>
  </si>
  <si>
    <t xml:space="preserve">Взять контакт коммерческого директора; запросить условия OEM для skincare и ампул с микроиглами (MOQ, сроки, цены)</t>
  </si>
  <si>
    <t xml:space="preserve">photos/007_cosplan.jpg</t>
  </si>
  <si>
    <t xml:space="preserve">THREEDAYSLOVE Co., Ltd. (бренд EXOMERE / TIME72)</t>
  </si>
  <si>
    <t xml:space="preserve">Cosmetic 360, стенд LB38 (Innovation Route — Brands &amp; Retail), корейский павильон</t>
  </si>
  <si>
    <t xml:space="preserve">OEM/ODM (указано на стенде) + свой бренд EXOMERE. Технология «спикулы + экзосомы» (запатентована, патент KR 10-2023-0121591; экзосомы из мандарина Халла, о. Чеджу). На стенде: регенерирующие ампулы (EGF, PDRN), восстанавливающий бальзам, кушон со спикулами и экзосомами (тональное средство), сыворотки, кремы, наборы ампул. ISO 9001. «25 лет экспертизы»</t>
  </si>
  <si>
    <t xml:space="preserve">Производят для других марок косметику для кожи (skincare)</t>
  </si>
  <si>
    <t xml:space="preserve">Компании принадлежат товарные знаки TIME72 и «TIME 72 EXOMERE» (поданы в 2024 г., США): косметика, эксфолианты, антивозрастные средства, питательные кремы. Сайта, адреса и подробностей про OEM в открытых источниках не найдено.</t>
  </si>
  <si>
    <t xml:space="preserve">https://trademark.justia.com/owners/threedayslove-co-ltd-5842403</t>
  </si>
  <si>
    <t xml:space="preserve">Взять контакт; запросить условия OEM/ODM по уходу за кожей (спикулы/экзосомы, ампулы, кремы), MOQ, сроки; уточнить, делают ли кушоны/макияж</t>
  </si>
  <si>
    <t xml:space="preserve">photos/008_threedayslove.jpg</t>
  </si>
  <si>
    <t xml:space="preserve">Япония</t>
  </si>
  <si>
    <t xml:space="preserve">Европейский офис: Леваллуа-Перре (пригород Парижа), Франция. Головной офис: Токио</t>
  </si>
  <si>
    <t xml:space="preserve">Iwase Cosfa Europe (группа Iwase Cosfa)</t>
  </si>
  <si>
    <t xml:space="preserve">https://iwasecosfa.eu</t>
  </si>
  <si>
    <t xml:space="preserve">https://iwasecosfa-eu.covalo.com/</t>
  </si>
  <si>
    <t xml:space="preserve">Дистрибьютор японского косметического сырья: активные ингредиенты, эмульгаторы, УФ-фильтры, пигменты, текстурирующие агенты. На стенде — Formulation Book «Horizons — Beauty without boundaries» (готовые рецептуры на их ингредиентах)</t>
  </si>
  <si>
    <t xml:space="preserve">92300 Levallois-Perret, Франция</t>
  </si>
  <si>
    <t xml:space="preserve">Буклет Formulation Book «Horizons», QR-код на каталог</t>
  </si>
  <si>
    <t xml:space="preserve">Ни с кем не познакомились — взяли буклет</t>
  </si>
  <si>
    <t xml:space="preserve">Японская группа, основана в 1931 г., штаб-квартира в Токио; офисы во Франции и США, недавно вышли в Марокко. Материнская компания сертифицирована ISO 9001 и ISO 14001. Коммерческий директор Europe — Antoine Joubin.</t>
  </si>
  <si>
    <t xml:space="preserve">https://www.cosmetic-valley.com/en/annuaire-entreprises/iwase-cosfa-europe ; https://ledesk.ma/enoff/cosmetique-le-japonais-iwase-cosfa-choisit-le-maroc-pour-souvrir-au-marche-africain/</t>
  </si>
  <si>
    <t xml:space="preserve">Посмотреть каталог по ссылке, выбрать интересные ингредиенты; связаться через сайт / Antoine Joubin</t>
  </si>
  <si>
    <t xml:space="preserve">photos/003_iwase_cosfa.jpg</t>
  </si>
  <si>
    <t xml:space="preserve">Компаний</t>
  </si>
  <si>
    <t xml:space="preserve">Высокий приоритет</t>
  </si>
  <si>
    <t xml:space="preserve">Итого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</si>
</sst>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dachser.fr/" TargetMode="External"/><Relationship Id="rId2" Type="http://schemas.openxmlformats.org/officeDocument/2006/relationships/hyperlink" Target="https://www.dachser.com/en/cosmetic-logistics" TargetMode="External"/><Relationship Id="rId3" Type="http://schemas.openxmlformats.org/officeDocument/2006/relationships/hyperlink" Target="https://en.chandogroup.com/" TargetMode="External"/><Relationship Id="rId4" Type="http://schemas.openxmlformats.org/officeDocument/2006/relationships/hyperlink" Target="https://www.kava.cn/" TargetMode="External"/><Relationship Id="rId5" Type="http://schemas.openxmlformats.org/officeDocument/2006/relationships/hyperlink" Target="https://www.lamerbeauty.uk/" TargetMode="External"/><Relationship Id="rId6" Type="http://schemas.openxmlformats.org/officeDocument/2006/relationships/hyperlink" Target="https://www.desjardin.fr/" TargetMode="External"/><Relationship Id="rId7" Type="http://schemas.openxmlformats.org/officeDocument/2006/relationships/hyperlink" Target="https://www.desjardin.fr/en/categories/cosmetic-packaging" TargetMode="External"/><Relationship Id="rId8" Type="http://schemas.openxmlformats.org/officeDocument/2006/relationships/hyperlink" Target="https://www.effervescence-lab.com/" TargetMode="External"/><Relationship Id="rId9" Type="http://schemas.openxmlformats.org/officeDocument/2006/relationships/hyperlink" Target="https://welcon.kocca.kr/en/directory/company/cosplan-inc--5601" TargetMode="External"/><Relationship Id="rId10" Type="http://schemas.openxmlformats.org/officeDocument/2006/relationships/hyperlink" Target="https://iwasecosfa.eu/" TargetMode="External"/><Relationship Id="rId11" Type="http://schemas.openxmlformats.org/officeDocument/2006/relationships/hyperlink" Target="https://iwasecosfa-eu.covalo.com/" TargetMode="External"/><Relationship Id="rId1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22"/>
    <col collapsed="false" customWidth="true" hidden="false" outlineLevel="0" max="5" min="5" style="0" width="24"/>
    <col collapsed="false" customWidth="true" hidden="false" outlineLevel="0" max="6" min="6" style="0" width="20"/>
    <col collapsed="false" customWidth="true" hidden="false" outlineLevel="0" max="7" min="7" style="0" width="18"/>
    <col collapsed="false" customWidth="true" hidden="false" outlineLevel="0" max="8" min="8" style="0" width="28"/>
    <col collapsed="false" customWidth="true" hidden="false" outlineLevel="0" max="9" min="9" style="0" width="45"/>
    <col collapsed="false" customWidth="true" hidden="false" outlineLevel="0" max="12" min="10" style="0" width="18"/>
    <col collapsed="false" customWidth="true" hidden="false" outlineLevel="0" max="13" min="13" style="0" width="24"/>
    <col collapsed="false" customWidth="true" hidden="false" outlineLevel="0" max="14" min="14" style="0" width="16"/>
    <col collapsed="false" customWidth="true" hidden="false" outlineLevel="0" max="15" min="15" style="0" width="36"/>
    <col collapsed="false" customWidth="true" hidden="false" outlineLevel="0" max="16" min="16" style="0" width="22"/>
    <col collapsed="false" customWidth="true" hidden="false" outlineLevel="0" max="17" min="17" style="0" width="30"/>
    <col collapsed="false" customWidth="true" hidden="false" outlineLevel="0" max="18" min="18" style="0" width="50"/>
    <col collapsed="false" customWidth="true" hidden="false" outlineLevel="0" max="19" min="19" style="0" width="30"/>
    <col collapsed="false" customWidth="true" hidden="false" outlineLevel="0" max="20" min="20" style="0" width="32"/>
    <col collapsed="false" customWidth="true" hidden="false" outlineLevel="0" max="22" min="21" style="0" width="11"/>
    <col collapsed="false" customWidth="true" hidden="false" outlineLevel="0" max="23" min="23" style="0" width="18"/>
  </cols>
  <sheetData>
    <row r="1" customFormat="false" ht="39.5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customFormat="false" ht="113.4" hidden="false" customHeight="false" outlineLevel="0" collapsed="false">
      <c r="A2" s="2" t="n">
        <v>1</v>
      </c>
      <c r="B2" s="3" t="s">
        <v>23</v>
      </c>
      <c r="C2" s="2" t="s">
        <v>24</v>
      </c>
      <c r="D2" s="2" t="s">
        <v>25</v>
      </c>
      <c r="E2" s="2" t="s">
        <v>26</v>
      </c>
      <c r="F2" s="2" t="s">
        <v>27</v>
      </c>
      <c r="G2" s="4" t="s">
        <v>28</v>
      </c>
      <c r="H2" s="4" t="s">
        <v>29</v>
      </c>
      <c r="I2" s="2" t="s">
        <v>30</v>
      </c>
      <c r="J2" s="2" t="s">
        <v>31</v>
      </c>
      <c r="K2" s="2"/>
      <c r="L2" s="2" t="s">
        <v>32</v>
      </c>
      <c r="M2" s="2" t="s">
        <v>33</v>
      </c>
      <c r="N2" s="2" t="s">
        <v>34</v>
      </c>
      <c r="O2" s="2" t="s">
        <v>35</v>
      </c>
      <c r="P2" s="2" t="s">
        <v>36</v>
      </c>
      <c r="Q2" s="2" t="s">
        <v>37</v>
      </c>
      <c r="R2" s="2" t="s">
        <v>38</v>
      </c>
      <c r="S2" s="2" t="s">
        <v>39</v>
      </c>
      <c r="T2" s="2" t="s">
        <v>40</v>
      </c>
      <c r="U2" s="2" t="s">
        <v>41</v>
      </c>
      <c r="V2" s="2" t="s">
        <v>42</v>
      </c>
      <c r="W2" s="2" t="s">
        <v>43</v>
      </c>
    </row>
    <row r="3" customFormat="false" ht="103.7" hidden="false" customHeight="false" outlineLevel="0" collapsed="false">
      <c r="A3" s="2" t="n">
        <v>2</v>
      </c>
      <c r="B3" s="3" t="s">
        <v>44</v>
      </c>
      <c r="C3" s="2" t="s">
        <v>45</v>
      </c>
      <c r="D3" s="2" t="s">
        <v>46</v>
      </c>
      <c r="E3" s="2" t="s">
        <v>47</v>
      </c>
      <c r="F3" s="2" t="s">
        <v>48</v>
      </c>
      <c r="G3" s="4" t="s">
        <v>49</v>
      </c>
      <c r="H3" s="2"/>
      <c r="I3" s="2" t="s">
        <v>50</v>
      </c>
      <c r="J3" s="2"/>
      <c r="K3" s="2"/>
      <c r="L3" s="2"/>
      <c r="M3" s="2"/>
      <c r="N3" s="2"/>
      <c r="O3" s="2" t="s">
        <v>51</v>
      </c>
      <c r="P3" s="2" t="s">
        <v>52</v>
      </c>
      <c r="Q3" s="2"/>
      <c r="R3" s="2" t="s">
        <v>53</v>
      </c>
      <c r="S3" s="2" t="s">
        <v>54</v>
      </c>
      <c r="T3" s="2" t="s">
        <v>55</v>
      </c>
      <c r="U3" s="2"/>
      <c r="V3" s="2" t="s">
        <v>42</v>
      </c>
      <c r="W3" s="2" t="s">
        <v>56</v>
      </c>
    </row>
    <row r="4" customFormat="false" ht="91" hidden="false" customHeight="false" outlineLevel="0" collapsed="false">
      <c r="A4" s="2" t="n">
        <v>3</v>
      </c>
      <c r="B4" s="3" t="s">
        <v>44</v>
      </c>
      <c r="C4" s="2" t="s">
        <v>57</v>
      </c>
      <c r="D4" s="2" t="s">
        <v>58</v>
      </c>
      <c r="E4" s="2" t="s">
        <v>59</v>
      </c>
      <c r="F4" s="2" t="s">
        <v>60</v>
      </c>
      <c r="G4" s="2"/>
      <c r="H4" s="2"/>
      <c r="I4" s="2" t="s">
        <v>61</v>
      </c>
      <c r="J4" s="2"/>
      <c r="K4" s="2"/>
      <c r="L4" s="2"/>
      <c r="M4" s="2"/>
      <c r="N4" s="2"/>
      <c r="O4" s="2" t="s">
        <v>62</v>
      </c>
      <c r="P4" s="2" t="s">
        <v>63</v>
      </c>
      <c r="Q4" s="2" t="s">
        <v>64</v>
      </c>
      <c r="R4" s="2" t="s">
        <v>65</v>
      </c>
      <c r="S4" s="2" t="s">
        <v>66</v>
      </c>
      <c r="T4" s="2" t="s">
        <v>67</v>
      </c>
      <c r="U4" s="2" t="s">
        <v>68</v>
      </c>
      <c r="V4" s="2" t="s">
        <v>42</v>
      </c>
      <c r="W4" s="2" t="s">
        <v>69</v>
      </c>
    </row>
    <row r="5" customFormat="false" ht="57.45" hidden="false" customHeight="false" outlineLevel="0" collapsed="false">
      <c r="A5" s="2" t="n">
        <v>4</v>
      </c>
      <c r="B5" s="3" t="s">
        <v>44</v>
      </c>
      <c r="C5" s="2" t="s">
        <v>57</v>
      </c>
      <c r="D5" s="2" t="s">
        <v>70</v>
      </c>
      <c r="E5" s="2" t="s">
        <v>71</v>
      </c>
      <c r="F5" s="2"/>
      <c r="G5" s="4" t="s">
        <v>72</v>
      </c>
      <c r="H5" s="2"/>
      <c r="I5" s="2" t="s">
        <v>73</v>
      </c>
      <c r="J5" s="2" t="s">
        <v>74</v>
      </c>
      <c r="K5" s="2" t="s">
        <v>75</v>
      </c>
      <c r="L5" s="2" t="s">
        <v>76</v>
      </c>
      <c r="M5" s="2" t="s">
        <v>77</v>
      </c>
      <c r="N5" s="2"/>
      <c r="O5" s="2" t="s">
        <v>78</v>
      </c>
      <c r="P5" s="2" t="s">
        <v>79</v>
      </c>
      <c r="Q5" s="2" t="s">
        <v>80</v>
      </c>
      <c r="R5" s="2" t="s">
        <v>81</v>
      </c>
      <c r="S5" s="2" t="s">
        <v>82</v>
      </c>
      <c r="T5" s="2" t="s">
        <v>83</v>
      </c>
      <c r="U5" s="2" t="s">
        <v>68</v>
      </c>
      <c r="V5" s="2" t="s">
        <v>42</v>
      </c>
      <c r="W5" s="2" t="s">
        <v>84</v>
      </c>
    </row>
    <row r="6" customFormat="false" ht="79.85" hidden="false" customHeight="false" outlineLevel="0" collapsed="false">
      <c r="A6" s="2" t="n">
        <v>5</v>
      </c>
      <c r="B6" s="3" t="s">
        <v>44</v>
      </c>
      <c r="C6" s="2" t="s">
        <v>85</v>
      </c>
      <c r="D6" s="2" t="s">
        <v>86</v>
      </c>
      <c r="E6" s="2" t="s">
        <v>87</v>
      </c>
      <c r="F6" s="2" t="s">
        <v>88</v>
      </c>
      <c r="G6" s="4" t="s">
        <v>89</v>
      </c>
      <c r="H6" s="2"/>
      <c r="I6" s="2" t="s">
        <v>90</v>
      </c>
      <c r="J6" s="2" t="s">
        <v>91</v>
      </c>
      <c r="K6" s="2"/>
      <c r="L6" s="2" t="s">
        <v>92</v>
      </c>
      <c r="M6" s="2" t="s">
        <v>93</v>
      </c>
      <c r="N6" s="2" t="s">
        <v>94</v>
      </c>
      <c r="O6" s="2" t="s">
        <v>95</v>
      </c>
      <c r="P6" s="2" t="s">
        <v>36</v>
      </c>
      <c r="Q6" s="2" t="s">
        <v>96</v>
      </c>
      <c r="R6" s="2" t="s">
        <v>97</v>
      </c>
      <c r="S6" s="2" t="s">
        <v>98</v>
      </c>
      <c r="T6" s="2" t="s">
        <v>99</v>
      </c>
      <c r="U6" s="2"/>
      <c r="V6" s="2" t="s">
        <v>42</v>
      </c>
      <c r="W6" s="2" t="s">
        <v>100</v>
      </c>
    </row>
    <row r="7" customFormat="false" ht="102.2" hidden="false" customHeight="false" outlineLevel="0" collapsed="false">
      <c r="A7" s="2" t="n">
        <v>6</v>
      </c>
      <c r="B7" s="3" t="s">
        <v>101</v>
      </c>
      <c r="C7" s="2" t="s">
        <v>57</v>
      </c>
      <c r="D7" s="2" t="s">
        <v>102</v>
      </c>
      <c r="E7" s="2" t="s">
        <v>103</v>
      </c>
      <c r="F7" s="2" t="s">
        <v>27</v>
      </c>
      <c r="G7" s="4" t="s">
        <v>104</v>
      </c>
      <c r="H7" s="4" t="s">
        <v>105</v>
      </c>
      <c r="I7" s="2" t="s">
        <v>106</v>
      </c>
      <c r="J7" s="2"/>
      <c r="K7" s="2"/>
      <c r="L7" s="2"/>
      <c r="M7" s="2" t="s">
        <v>107</v>
      </c>
      <c r="N7" s="2"/>
      <c r="O7" s="2" t="s">
        <v>108</v>
      </c>
      <c r="P7" s="2" t="s">
        <v>52</v>
      </c>
      <c r="Q7" s="2"/>
      <c r="R7" s="2" t="s">
        <v>109</v>
      </c>
      <c r="S7" s="2" t="s">
        <v>110</v>
      </c>
      <c r="T7" s="2" t="s">
        <v>111</v>
      </c>
      <c r="U7" s="2"/>
      <c r="V7" s="2" t="s">
        <v>42</v>
      </c>
      <c r="W7" s="2" t="s">
        <v>112</v>
      </c>
    </row>
    <row r="8" customFormat="false" ht="102.2" hidden="false" customHeight="false" outlineLevel="0" collapsed="false">
      <c r="A8" s="2" t="n">
        <v>7</v>
      </c>
      <c r="B8" s="3" t="s">
        <v>101</v>
      </c>
      <c r="C8" s="2" t="s">
        <v>113</v>
      </c>
      <c r="D8" s="2" t="s">
        <v>114</v>
      </c>
      <c r="E8" s="2" t="s">
        <v>115</v>
      </c>
      <c r="F8" s="2" t="s">
        <v>116</v>
      </c>
      <c r="G8" s="4" t="s">
        <v>117</v>
      </c>
      <c r="H8" s="2"/>
      <c r="I8" s="2" t="s">
        <v>118</v>
      </c>
      <c r="J8" s="2"/>
      <c r="K8" s="2"/>
      <c r="L8" s="2"/>
      <c r="M8" s="2" t="s">
        <v>119</v>
      </c>
      <c r="N8" s="2" t="s">
        <v>120</v>
      </c>
      <c r="O8" s="2" t="s">
        <v>121</v>
      </c>
      <c r="P8" s="2" t="s">
        <v>122</v>
      </c>
      <c r="Q8" s="2" t="s">
        <v>123</v>
      </c>
      <c r="R8" s="2" t="s">
        <v>124</v>
      </c>
      <c r="S8" s="2" t="s">
        <v>125</v>
      </c>
      <c r="T8" s="2" t="s">
        <v>126</v>
      </c>
      <c r="U8" s="2"/>
      <c r="V8" s="2" t="s">
        <v>42</v>
      </c>
      <c r="W8" s="2" t="s">
        <v>127</v>
      </c>
    </row>
    <row r="9" customFormat="false" ht="180.55" hidden="false" customHeight="false" outlineLevel="0" collapsed="false">
      <c r="A9" s="2" t="n">
        <v>8</v>
      </c>
      <c r="B9" s="3" t="s">
        <v>101</v>
      </c>
      <c r="C9" s="2" t="s">
        <v>45</v>
      </c>
      <c r="D9" s="2" t="s">
        <v>128</v>
      </c>
      <c r="E9" s="2" t="s">
        <v>129</v>
      </c>
      <c r="F9" s="2" t="s">
        <v>130</v>
      </c>
      <c r="G9" s="2"/>
      <c r="H9" s="2"/>
      <c r="I9" s="2" t="s">
        <v>131</v>
      </c>
      <c r="J9" s="2"/>
      <c r="K9" s="2"/>
      <c r="L9" s="2"/>
      <c r="M9" s="2"/>
      <c r="N9" s="2"/>
      <c r="O9" s="2" t="s">
        <v>132</v>
      </c>
      <c r="P9" s="2" t="s">
        <v>133</v>
      </c>
      <c r="Q9" s="2"/>
      <c r="R9" s="2" t="s">
        <v>134</v>
      </c>
      <c r="S9" s="2" t="s">
        <v>135</v>
      </c>
      <c r="T9" s="2" t="s">
        <v>136</v>
      </c>
      <c r="U9" s="2"/>
      <c r="V9" s="2" t="s">
        <v>42</v>
      </c>
      <c r="W9" s="2" t="s">
        <v>137</v>
      </c>
    </row>
    <row r="10" customFormat="false" ht="158.2" hidden="false" customHeight="false" outlineLevel="0" collapsed="false">
      <c r="A10" s="2" t="n">
        <v>9</v>
      </c>
      <c r="B10" s="3" t="s">
        <v>101</v>
      </c>
      <c r="C10" s="2" t="s">
        <v>85</v>
      </c>
      <c r="D10" s="2" t="s">
        <v>138</v>
      </c>
      <c r="E10" s="2" t="s">
        <v>139</v>
      </c>
      <c r="F10" s="2" t="s">
        <v>140</v>
      </c>
      <c r="G10" s="2" t="s">
        <v>141</v>
      </c>
      <c r="H10" s="2"/>
      <c r="I10" s="2" t="s">
        <v>142</v>
      </c>
      <c r="J10" s="2"/>
      <c r="K10" s="2"/>
      <c r="L10" s="2"/>
      <c r="M10" s="2"/>
      <c r="N10" s="2"/>
      <c r="O10" s="2" t="s">
        <v>143</v>
      </c>
      <c r="P10" s="2" t="s">
        <v>144</v>
      </c>
      <c r="Q10" s="2"/>
      <c r="R10" s="2" t="s">
        <v>145</v>
      </c>
      <c r="S10" s="2" t="s">
        <v>146</v>
      </c>
      <c r="T10" s="2" t="s">
        <v>147</v>
      </c>
      <c r="U10" s="2"/>
      <c r="V10" s="2" t="s">
        <v>42</v>
      </c>
      <c r="W10" s="2" t="s">
        <v>148</v>
      </c>
    </row>
    <row r="11" customFormat="false" ht="158.2" hidden="false" customHeight="false" outlineLevel="0" collapsed="false">
      <c r="A11" s="2" t="n">
        <v>10</v>
      </c>
      <c r="B11" s="3" t="s">
        <v>101</v>
      </c>
      <c r="C11" s="2" t="s">
        <v>85</v>
      </c>
      <c r="D11" s="2" t="s">
        <v>149</v>
      </c>
      <c r="E11" s="2" t="s">
        <v>150</v>
      </c>
      <c r="F11" s="2" t="s">
        <v>151</v>
      </c>
      <c r="G11" s="2" t="s">
        <v>152</v>
      </c>
      <c r="H11" s="2"/>
      <c r="I11" s="2" t="s">
        <v>153</v>
      </c>
      <c r="J11" s="2"/>
      <c r="K11" s="2"/>
      <c r="L11" s="2"/>
      <c r="M11" s="2"/>
      <c r="N11" s="2"/>
      <c r="O11" s="2" t="s">
        <v>154</v>
      </c>
      <c r="P11" s="2" t="s">
        <v>155</v>
      </c>
      <c r="Q11" s="2" t="s">
        <v>156</v>
      </c>
      <c r="R11" s="2" t="s">
        <v>157</v>
      </c>
      <c r="S11" s="2" t="s">
        <v>158</v>
      </c>
      <c r="T11" s="2" t="s">
        <v>159</v>
      </c>
      <c r="U11" s="2"/>
      <c r="V11" s="2" t="s">
        <v>42</v>
      </c>
      <c r="W11" s="2" t="s">
        <v>160</v>
      </c>
    </row>
    <row r="12" customFormat="false" ht="124.6" hidden="false" customHeight="false" outlineLevel="0" collapsed="false">
      <c r="A12" s="2" t="n">
        <v>11</v>
      </c>
      <c r="B12" s="3" t="s">
        <v>161</v>
      </c>
      <c r="C12" s="2" t="s">
        <v>85</v>
      </c>
      <c r="D12" s="2" t="s">
        <v>162</v>
      </c>
      <c r="E12" s="2" t="s">
        <v>163</v>
      </c>
      <c r="F12" s="2" t="s">
        <v>164</v>
      </c>
      <c r="G12" s="2"/>
      <c r="H12" s="4" t="s">
        <v>165</v>
      </c>
      <c r="I12" s="2" t="s">
        <v>166</v>
      </c>
      <c r="J12" s="2"/>
      <c r="K12" s="2"/>
      <c r="L12" s="2" t="s">
        <v>167</v>
      </c>
      <c r="M12" s="2"/>
      <c r="N12" s="2"/>
      <c r="O12" s="2" t="s">
        <v>168</v>
      </c>
      <c r="P12" s="2" t="s">
        <v>52</v>
      </c>
      <c r="Q12" s="2" t="s">
        <v>169</v>
      </c>
      <c r="R12" s="2" t="s">
        <v>170</v>
      </c>
      <c r="S12" s="2" t="s">
        <v>171</v>
      </c>
      <c r="T12" s="2" t="s">
        <v>172</v>
      </c>
      <c r="U12" s="2"/>
      <c r="V12" s="2" t="s">
        <v>42</v>
      </c>
      <c r="W12" s="2" t="s">
        <v>173</v>
      </c>
    </row>
    <row r="13" customFormat="false" ht="102.2" hidden="false" customHeight="false" outlineLevel="0" collapsed="false">
      <c r="A13" s="2" t="n">
        <v>12</v>
      </c>
      <c r="B13" s="3" t="s">
        <v>161</v>
      </c>
      <c r="C13" s="2" t="s">
        <v>85</v>
      </c>
      <c r="D13" s="2"/>
      <c r="E13" s="2" t="s">
        <v>174</v>
      </c>
      <c r="F13" s="2" t="s">
        <v>175</v>
      </c>
      <c r="G13" s="2"/>
      <c r="H13" s="2"/>
      <c r="I13" s="2" t="s">
        <v>176</v>
      </c>
      <c r="J13" s="2"/>
      <c r="K13" s="2"/>
      <c r="L13" s="2"/>
      <c r="M13" s="2"/>
      <c r="N13" s="2"/>
      <c r="O13" s="2"/>
      <c r="P13" s="2" t="s">
        <v>52</v>
      </c>
      <c r="Q13" s="2" t="s">
        <v>177</v>
      </c>
      <c r="R13" s="2" t="s">
        <v>178</v>
      </c>
      <c r="S13" s="2" t="s">
        <v>179</v>
      </c>
      <c r="T13" s="2" t="s">
        <v>180</v>
      </c>
      <c r="U13" s="2"/>
      <c r="V13" s="2" t="s">
        <v>42</v>
      </c>
      <c r="W13" s="2" t="s">
        <v>181</v>
      </c>
    </row>
    <row r="14" customFormat="false" ht="79.85" hidden="false" customHeight="false" outlineLevel="0" collapsed="false">
      <c r="A14" s="2" t="n">
        <v>13</v>
      </c>
      <c r="B14" s="3" t="s">
        <v>182</v>
      </c>
      <c r="C14" s="2" t="s">
        <v>45</v>
      </c>
      <c r="D14" s="2" t="s">
        <v>183</v>
      </c>
      <c r="E14" s="2" t="s">
        <v>184</v>
      </c>
      <c r="F14" s="2" t="s">
        <v>27</v>
      </c>
      <c r="G14" s="4" t="s">
        <v>185</v>
      </c>
      <c r="H14" s="4" t="s">
        <v>186</v>
      </c>
      <c r="I14" s="2" t="s">
        <v>187</v>
      </c>
      <c r="J14" s="2"/>
      <c r="K14" s="2"/>
      <c r="L14" s="2"/>
      <c r="M14" s="2"/>
      <c r="N14" s="2"/>
      <c r="O14" s="2" t="s">
        <v>188</v>
      </c>
      <c r="P14" s="2" t="s">
        <v>189</v>
      </c>
      <c r="Q14" s="2" t="s">
        <v>190</v>
      </c>
      <c r="R14" s="2" t="s">
        <v>191</v>
      </c>
      <c r="S14" s="2" t="s">
        <v>192</v>
      </c>
      <c r="T14" s="2" t="s">
        <v>193</v>
      </c>
      <c r="U14" s="2"/>
      <c r="V14" s="2" t="s">
        <v>42</v>
      </c>
      <c r="W14" s="2" t="s">
        <v>194</v>
      </c>
    </row>
  </sheetData>
  <autoFilter ref="A1:W14"/>
  <hyperlinks>
    <hyperlink ref="G2" r:id="rId1" display="https://www.dachser.fr"/>
    <hyperlink ref="H2" r:id="rId2" display="https://www.dachser.com/en/cosmetic-logistics"/>
    <hyperlink ref="G3" r:id="rId3" display="https://en.chandogroup.com"/>
    <hyperlink ref="G5" r:id="rId4" display="www.kava.cn"/>
    <hyperlink ref="G6" r:id="rId5" display="www.lamerbeauty.uk ; www.rsgroup.cn"/>
    <hyperlink ref="G7" r:id="rId6" display="https://www.desjardin.fr"/>
    <hyperlink ref="H7" r:id="rId7" display="https://www.desjardin.fr/en/categories/cosmetic-packaging"/>
    <hyperlink ref="G8" r:id="rId8" display="www.effervescence-lab.com"/>
    <hyperlink ref="H12" r:id="rId9" display="https://welcon.kocca.kr/en/directory/company/cosplan-inc--5601"/>
    <hyperlink ref="G14" r:id="rId10" display="https://iwasecosfa.eu"/>
    <hyperlink ref="H14" r:id="rId11" display="https://iwasecosfa-eu.covalo.com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2"/>
    <col collapsed="false" customWidth="true" hidden="false" outlineLevel="0" max="3" min="3" style="0" width="20"/>
  </cols>
  <sheetData>
    <row r="1" customFormat="false" ht="15" hidden="false" customHeight="false" outlineLevel="0" collapsed="false">
      <c r="A1" s="5" t="s">
        <v>1</v>
      </c>
      <c r="B1" s="5" t="s">
        <v>195</v>
      </c>
      <c r="C1" s="5" t="s">
        <v>196</v>
      </c>
    </row>
    <row r="2" customFormat="false" ht="15" hidden="false" customHeight="false" outlineLevel="0" collapsed="false">
      <c r="A2" s="6" t="s">
        <v>23</v>
      </c>
      <c r="B2" s="6" t="n">
        <f aca="false">COUNTIF(Контакты!$B$2:$B$14,A2)</f>
        <v>1</v>
      </c>
      <c r="C2" s="6" t="n">
        <f aca="false">COUNTIFS(Контакты!$B$2:$B$14,A2,Контакты!$U$2:$U$14,"Высокий")</f>
        <v>0</v>
      </c>
    </row>
    <row r="3" customFormat="false" ht="15" hidden="false" customHeight="false" outlineLevel="0" collapsed="false">
      <c r="A3" s="6" t="s">
        <v>44</v>
      </c>
      <c r="B3" s="6" t="n">
        <f aca="false">COUNTIF(Контакты!$B$2:$B$14,A3)</f>
        <v>4</v>
      </c>
      <c r="C3" s="6" t="n">
        <f aca="false">COUNTIFS(Контакты!$B$2:$B$14,A3,Контакты!$U$2:$U$14,"Высокий")</f>
        <v>2</v>
      </c>
    </row>
    <row r="4" customFormat="false" ht="15" hidden="false" customHeight="false" outlineLevel="0" collapsed="false">
      <c r="A4" s="6" t="s">
        <v>101</v>
      </c>
      <c r="B4" s="6" t="n">
        <f aca="false">COUNTIF(Контакты!$B$2:$B$14,A4)</f>
        <v>5</v>
      </c>
      <c r="C4" s="6" t="n">
        <f aca="false">COUNTIFS(Контакты!$B$2:$B$14,A4,Контакты!$U$2:$U$14,"Высокий")</f>
        <v>0</v>
      </c>
    </row>
    <row r="5" customFormat="false" ht="15" hidden="false" customHeight="false" outlineLevel="0" collapsed="false">
      <c r="A5" s="6" t="s">
        <v>161</v>
      </c>
      <c r="B5" s="6" t="n">
        <f aca="false">COUNTIF(Контакты!$B$2:$B$14,A5)</f>
        <v>2</v>
      </c>
      <c r="C5" s="6" t="n">
        <f aca="false">COUNTIFS(Контакты!$B$2:$B$14,A5,Контакты!$U$2:$U$14,"Высокий")</f>
        <v>0</v>
      </c>
    </row>
    <row r="6" customFormat="false" ht="15" hidden="false" customHeight="false" outlineLevel="0" collapsed="false">
      <c r="A6" s="6" t="s">
        <v>182</v>
      </c>
      <c r="B6" s="6" t="n">
        <f aca="false">COUNTIF(Контакты!$B$2:$B$14,A6)</f>
        <v>1</v>
      </c>
      <c r="C6" s="6" t="n">
        <f aca="false">COUNTIFS(Контакты!$B$2:$B$14,A6,Контакты!$U$2:$U$14,"Высокий")</f>
        <v>0</v>
      </c>
    </row>
    <row r="7" customFormat="false" ht="15" hidden="false" customHeight="false" outlineLevel="0" collapsed="false">
      <c r="A7" s="7" t="s">
        <v>197</v>
      </c>
      <c r="B7" s="7" t="n">
        <f aca="false">SUM(B2:B6)</f>
        <v>13</v>
      </c>
      <c r="C7" s="7" t="n">
        <f aca="false">SUM(C2:C6)</f>
        <v>2</v>
      </c>
    </row>
    <row r="8" customFormat="false" ht="15" hidden="false" customHeight="false" outlineLevel="0" collapsed="false">
      <c r="A8" s="6"/>
      <c r="B8" s="6"/>
      <c r="C8" s="6"/>
    </row>
    <row r="9" customFormat="false" ht="15" hidden="false" customHeight="false" outlineLevel="0" collapsed="false">
      <c r="A9" s="6" t="s">
        <v>2</v>
      </c>
      <c r="B9" s="6" t="s">
        <v>195</v>
      </c>
      <c r="C9" s="6"/>
    </row>
    <row r="10" customFormat="false" ht="15" hidden="false" customHeight="false" outlineLevel="0" collapsed="false">
      <c r="A10" s="6" t="s">
        <v>85</v>
      </c>
      <c r="B10" s="6" t="n">
        <f aca="false">COUNTIF(Контакты!$C$2:$C$14,A10)</f>
        <v>5</v>
      </c>
      <c r="C10" s="6"/>
    </row>
    <row r="11" customFormat="false" ht="15" hidden="false" customHeight="false" outlineLevel="0" collapsed="false">
      <c r="A11" s="6" t="s">
        <v>24</v>
      </c>
      <c r="B11" s="6" t="n">
        <f aca="false">COUNTIF(Контакты!$C$2:$C$14,A11)</f>
        <v>1</v>
      </c>
      <c r="C11" s="6"/>
    </row>
    <row r="12" customFormat="false" ht="15" hidden="false" customHeight="false" outlineLevel="0" collapsed="false">
      <c r="A12" s="6" t="s">
        <v>113</v>
      </c>
      <c r="B12" s="6" t="n">
        <f aca="false">COUNTIF(Контакты!$C$2:$C$14,A12)</f>
        <v>1</v>
      </c>
      <c r="C12" s="6"/>
    </row>
    <row r="13" customFormat="false" ht="15" hidden="false" customHeight="false" outlineLevel="0" collapsed="false">
      <c r="A13" s="6" t="s">
        <v>45</v>
      </c>
      <c r="B13" s="6" t="n">
        <f aca="false">COUNTIF(Контакты!$C$2:$C$14,A13)</f>
        <v>3</v>
      </c>
      <c r="C13" s="6"/>
    </row>
    <row r="14" customFormat="false" ht="15" hidden="false" customHeight="false" outlineLevel="0" collapsed="false">
      <c r="A14" s="6" t="s">
        <v>57</v>
      </c>
      <c r="B14" s="6" t="n">
        <f aca="false">COUNTIF(Контакты!$C$2:$C$14,A14)</f>
        <v>3</v>
      </c>
      <c r="C14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2026-10-14T11:48:38Z</dcterms:created>
  <dc:creator>openpyxl</dc:creator>
  <dc:description/>
  <dc:language>en-US</dc:language>
  <cp:lastModifiedBy/>
  <dcterms:modified xsi:type="dcterms:W3CDTF">2026-10-14T11:48:38Z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