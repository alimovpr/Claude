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<sst xmlns="http://schemas.openxmlformats.org/spreadsheetml/2006/main" count="217" uniqueCount="177">
  <si>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</si>
  <si>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</si>
  <si>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</si>
  <si>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</si>
  <si>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</si>
  <si>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</si>
  <si>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</si>
  <si>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</si>
  <si>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</si>
  <si>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</si>
  <si>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</si>
  <si>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</si>
  <si>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</si>
  <si>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</si>
  <si>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</si>
  <si>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</si>
  <si>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</si>
  <si>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</si>
  <si>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</si>
  <si>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</si>
  <si>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</si>
  <si>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</si>
  <si>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</si>
  <si>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</si>
  <si>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</si>
  <si>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</si>
  <si>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</si>
  <si>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</si>
  <si>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</si>
  <si>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</si>
  <si>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</si>
  <si>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</si>
  <si>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</si>
  <si>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</si>
  <si>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</si>
  <si>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</si>
  <si>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</si>
  <si>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</si>
  <si>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</si>
  <si>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</si>
  <si>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</si>
  <si>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</si>
  <si>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</si>
  <si>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</si>
  <si>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</si>
  <si>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</si>
  <si>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</si>
  <si>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</si>
  <si>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</si>
  <si>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</si>
  <si>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</si>
  <si>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</si>
  <si>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</si>
  <si>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</si>
  <si>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</si>
  <si>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</si>
  <si>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</si>
  <si>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</si>
  <si>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</si>
  <si>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</si>
  <si>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</si>
  <si>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</si>
  <si>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</si>
  <si>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</si>
  <si>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</si>
  <si>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</si>
  <si>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</si>
  <si>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</si>
  <si>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</si>
  <si>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</si>
  <si>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</si>
  <si>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</si>
  <si>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</si>
  <si>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</si>
  <si>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</si>
  <si>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</si>
  <si>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</si>
  <si>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</si>
  <si>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</si>
  <si>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</si>
  <si>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</si>
  <si>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</si>
  <si>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</si>
  <si>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</si>
  <si>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</si>
  <si>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</si>
  <si>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Фото стенда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</si>
  <si>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</si>
  <si>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</si>
  <si>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</si>
  <si>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</si>
  <si>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</si>
  <si>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</si>
  <si>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</si>
  <si>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</si>
  <si>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</si>
  <si>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</si>
  <si>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</si>
  <si>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</si>
  <si>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</si>
  <si>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</si>
  <si>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</si>
  <si>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</si>
  <si>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</si>
  <si>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</si>
  <si>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</si>
  <si>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Сырьё / ингредиенты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</si>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</sst>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desjardin.fr/" TargetMode="External"/><Relationship Id="rId6" Type="http://schemas.openxmlformats.org/officeDocument/2006/relationships/hyperlink" Target="https://www.desjardin.fr/en/categories/cosmetic-packaging" TargetMode="External"/><Relationship Id="rId7" Type="http://schemas.openxmlformats.org/officeDocument/2006/relationships/hyperlink" Target="https://www.effervescence-lab.com/" TargetMode="External"/><Relationship Id="rId8" Type="http://schemas.openxmlformats.org/officeDocument/2006/relationships/hyperlink" Target="https://welcon.kocca.kr/en/directory/company/cosplan-inc--5601" TargetMode="External"/><Relationship Id="rId9" Type="http://schemas.openxmlformats.org/officeDocument/2006/relationships/hyperlink" Target="https://iwasecosfa.eu/" TargetMode="External"/><Relationship Id="rId10" Type="http://schemas.openxmlformats.org/officeDocument/2006/relationships/hyperlink" Target="https://iwasecosfa-eu.covalo.com/" TargetMode="External"/><Relationship Id="rId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45</v>
      </c>
      <c r="D5" s="2" t="s">
        <v>79</v>
      </c>
      <c r="E5" s="2" t="s">
        <v>80</v>
      </c>
      <c r="F5" s="2" t="s">
        <v>27</v>
      </c>
      <c r="G5" s="4" t="s">
        <v>81</v>
      </c>
      <c r="H5" s="4" t="s">
        <v>82</v>
      </c>
      <c r="I5" s="2" t="s">
        <v>83</v>
      </c>
      <c r="J5" s="2"/>
      <c r="K5" s="2"/>
      <c r="L5" s="2"/>
      <c r="M5" s="2" t="s">
        <v>84</v>
      </c>
      <c r="N5" s="2"/>
      <c r="O5" s="2" t="s">
        <v>85</v>
      </c>
      <c r="P5" s="2" t="s">
        <v>86</v>
      </c>
      <c r="Q5" s="2"/>
      <c r="R5" s="2" t="s">
        <v>87</v>
      </c>
      <c r="S5" s="2" t="s">
        <v>88</v>
      </c>
      <c r="T5" s="2" t="s">
        <v>89</v>
      </c>
      <c r="U5" s="2"/>
      <c r="V5" s="2" t="s">
        <v>42</v>
      </c>
      <c r="W5" s="2" t="s">
        <v>90</v>
      </c>
    </row>
    <row r="6" customFormat="false" ht="102.2" hidden="false" customHeight="false" outlineLevel="0" collapsed="false">
      <c r="A6" s="2" t="n">
        <v>5</v>
      </c>
      <c r="B6" s="3" t="s">
        <v>78</v>
      </c>
      <c r="C6" s="2" t="s">
        <v>91</v>
      </c>
      <c r="D6" s="2" t="s">
        <v>92</v>
      </c>
      <c r="E6" s="2" t="s">
        <v>93</v>
      </c>
      <c r="F6" s="2" t="s">
        <v>94</v>
      </c>
      <c r="G6" s="4" t="s">
        <v>95</v>
      </c>
      <c r="H6" s="2"/>
      <c r="I6" s="2" t="s">
        <v>96</v>
      </c>
      <c r="J6" s="2"/>
      <c r="K6" s="2"/>
      <c r="L6" s="2"/>
      <c r="M6" s="2" t="s">
        <v>97</v>
      </c>
      <c r="N6" s="2" t="s">
        <v>98</v>
      </c>
      <c r="O6" s="2" t="s">
        <v>99</v>
      </c>
      <c r="P6" s="2" t="s">
        <v>100</v>
      </c>
      <c r="Q6" s="2" t="s">
        <v>101</v>
      </c>
      <c r="R6" s="2" t="s">
        <v>102</v>
      </c>
      <c r="S6" s="2" t="s">
        <v>103</v>
      </c>
      <c r="T6" s="2" t="s">
        <v>104</v>
      </c>
      <c r="U6" s="2"/>
      <c r="V6" s="2" t="s">
        <v>42</v>
      </c>
      <c r="W6" s="2" t="s">
        <v>105</v>
      </c>
    </row>
    <row r="7" customFormat="false" ht="180.55" hidden="false" customHeight="false" outlineLevel="0" collapsed="false">
      <c r="A7" s="2" t="n">
        <v>6</v>
      </c>
      <c r="B7" s="3" t="s">
        <v>78</v>
      </c>
      <c r="C7" s="2" t="s">
        <v>106</v>
      </c>
      <c r="D7" s="2" t="s">
        <v>107</v>
      </c>
      <c r="E7" s="2" t="s">
        <v>108</v>
      </c>
      <c r="F7" s="2" t="s">
        <v>109</v>
      </c>
      <c r="G7" s="2"/>
      <c r="H7" s="2"/>
      <c r="I7" s="2" t="s">
        <v>110</v>
      </c>
      <c r="J7" s="2"/>
      <c r="K7" s="2"/>
      <c r="L7" s="2"/>
      <c r="M7" s="2"/>
      <c r="N7" s="2"/>
      <c r="O7" s="2" t="s">
        <v>111</v>
      </c>
      <c r="P7" s="2" t="s">
        <v>112</v>
      </c>
      <c r="Q7" s="2"/>
      <c r="R7" s="2" t="s">
        <v>113</v>
      </c>
      <c r="S7" s="2" t="s">
        <v>114</v>
      </c>
      <c r="T7" s="2" t="s">
        <v>115</v>
      </c>
      <c r="U7" s="2"/>
      <c r="V7" s="2" t="s">
        <v>42</v>
      </c>
      <c r="W7" s="2" t="s">
        <v>116</v>
      </c>
    </row>
    <row r="8" customFormat="false" ht="158.2" hidden="false" customHeight="false" outlineLevel="0" collapsed="false">
      <c r="A8" s="2" t="n">
        <v>7</v>
      </c>
      <c r="B8" s="3" t="s">
        <v>78</v>
      </c>
      <c r="C8" s="2" t="s">
        <v>62</v>
      </c>
      <c r="D8" s="2" t="s">
        <v>117</v>
      </c>
      <c r="E8" s="2" t="s">
        <v>118</v>
      </c>
      <c r="F8" s="2" t="s">
        <v>119</v>
      </c>
      <c r="G8" s="2" t="s">
        <v>120</v>
      </c>
      <c r="H8" s="2"/>
      <c r="I8" s="2" t="s">
        <v>121</v>
      </c>
      <c r="J8" s="2"/>
      <c r="K8" s="2"/>
      <c r="L8" s="2"/>
      <c r="M8" s="2"/>
      <c r="N8" s="2"/>
      <c r="O8" s="2" t="s">
        <v>122</v>
      </c>
      <c r="P8" s="2" t="s">
        <v>123</v>
      </c>
      <c r="Q8" s="2"/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58.2" hidden="false" customHeight="false" outlineLevel="0" collapsed="false">
      <c r="A9" s="2" t="n">
        <v>8</v>
      </c>
      <c r="B9" s="3" t="s">
        <v>78</v>
      </c>
      <c r="C9" s="2" t="s">
        <v>62</v>
      </c>
      <c r="D9" s="2" t="s">
        <v>128</v>
      </c>
      <c r="E9" s="2" t="s">
        <v>129</v>
      </c>
      <c r="F9" s="2" t="s">
        <v>130</v>
      </c>
      <c r="G9" s="2" t="s">
        <v>131</v>
      </c>
      <c r="H9" s="2"/>
      <c r="I9" s="2" t="s">
        <v>132</v>
      </c>
      <c r="J9" s="2"/>
      <c r="K9" s="2"/>
      <c r="L9" s="2"/>
      <c r="M9" s="2"/>
      <c r="N9" s="2"/>
      <c r="O9" s="2" t="s">
        <v>133</v>
      </c>
      <c r="P9" s="2" t="s">
        <v>134</v>
      </c>
      <c r="Q9" s="2" t="s">
        <v>135</v>
      </c>
      <c r="R9" s="2" t="s">
        <v>136</v>
      </c>
      <c r="S9" s="2" t="s">
        <v>137</v>
      </c>
      <c r="T9" s="2" t="s">
        <v>138</v>
      </c>
      <c r="U9" s="2"/>
      <c r="V9" s="2" t="s">
        <v>42</v>
      </c>
      <c r="W9" s="2" t="s">
        <v>139</v>
      </c>
    </row>
    <row r="10" customFormat="false" ht="124.6" hidden="false" customHeight="false" outlineLevel="0" collapsed="false">
      <c r="A10" s="2" t="n">
        <v>9</v>
      </c>
      <c r="B10" s="3" t="s">
        <v>140</v>
      </c>
      <c r="C10" s="2" t="s">
        <v>62</v>
      </c>
      <c r="D10" s="2" t="s">
        <v>141</v>
      </c>
      <c r="E10" s="2" t="s">
        <v>142</v>
      </c>
      <c r="F10" s="2" t="s">
        <v>143</v>
      </c>
      <c r="G10" s="2"/>
      <c r="H10" s="4" t="s">
        <v>144</v>
      </c>
      <c r="I10" s="2" t="s">
        <v>145</v>
      </c>
      <c r="J10" s="2"/>
      <c r="K10" s="2"/>
      <c r="L10" s="2" t="s">
        <v>146</v>
      </c>
      <c r="M10" s="2"/>
      <c r="N10" s="2"/>
      <c r="O10" s="2" t="s">
        <v>147</v>
      </c>
      <c r="P10" s="2" t="s">
        <v>86</v>
      </c>
      <c r="Q10" s="2" t="s">
        <v>148</v>
      </c>
      <c r="R10" s="2" t="s">
        <v>149</v>
      </c>
      <c r="S10" s="2" t="s">
        <v>150</v>
      </c>
      <c r="T10" s="2" t="s">
        <v>151</v>
      </c>
      <c r="U10" s="2"/>
      <c r="V10" s="2" t="s">
        <v>42</v>
      </c>
      <c r="W10" s="2" t="s">
        <v>152</v>
      </c>
    </row>
    <row r="11" customFormat="false" ht="102.2" hidden="false" customHeight="false" outlineLevel="0" collapsed="false">
      <c r="A11" s="2" t="n">
        <v>10</v>
      </c>
      <c r="B11" s="3" t="s">
        <v>140</v>
      </c>
      <c r="C11" s="2" t="s">
        <v>62</v>
      </c>
      <c r="D11" s="2"/>
      <c r="E11" s="2" t="s">
        <v>153</v>
      </c>
      <c r="F11" s="2" t="s">
        <v>154</v>
      </c>
      <c r="G11" s="2"/>
      <c r="H11" s="2"/>
      <c r="I11" s="2" t="s">
        <v>155</v>
      </c>
      <c r="J11" s="2"/>
      <c r="K11" s="2"/>
      <c r="L11" s="2"/>
      <c r="M11" s="2"/>
      <c r="N11" s="2"/>
      <c r="O11" s="2"/>
      <c r="P11" s="2" t="s">
        <v>86</v>
      </c>
      <c r="Q11" s="2" t="s">
        <v>156</v>
      </c>
      <c r="R11" s="2" t="s">
        <v>157</v>
      </c>
      <c r="S11" s="2" t="s">
        <v>158</v>
      </c>
      <c r="T11" s="2" t="s">
        <v>159</v>
      </c>
      <c r="U11" s="2"/>
      <c r="V11" s="2" t="s">
        <v>42</v>
      </c>
      <c r="W11" s="2" t="s">
        <v>160</v>
      </c>
    </row>
    <row r="12" customFormat="false" ht="79.85" hidden="false" customHeight="false" outlineLevel="0" collapsed="false">
      <c r="A12" s="2" t="n">
        <v>11</v>
      </c>
      <c r="B12" s="3" t="s">
        <v>161</v>
      </c>
      <c r="C12" s="2" t="s">
        <v>106</v>
      </c>
      <c r="D12" s="2" t="s">
        <v>162</v>
      </c>
      <c r="E12" s="2" t="s">
        <v>163</v>
      </c>
      <c r="F12" s="2" t="s">
        <v>27</v>
      </c>
      <c r="G12" s="4" t="s">
        <v>164</v>
      </c>
      <c r="H12" s="4" t="s">
        <v>165</v>
      </c>
      <c r="I12" s="2" t="s">
        <v>166</v>
      </c>
      <c r="J12" s="2"/>
      <c r="K12" s="2"/>
      <c r="L12" s="2"/>
      <c r="M12" s="2"/>
      <c r="N12" s="2"/>
      <c r="O12" s="2" t="s">
        <v>167</v>
      </c>
      <c r="P12" s="2" t="s">
        <v>168</v>
      </c>
      <c r="Q12" s="2" t="s">
        <v>169</v>
      </c>
      <c r="R12" s="2" t="s">
        <v>170</v>
      </c>
      <c r="S12" s="2" t="s">
        <v>171</v>
      </c>
      <c r="T12" s="2" t="s">
        <v>172</v>
      </c>
      <c r="U12" s="2"/>
      <c r="V12" s="2" t="s">
        <v>42</v>
      </c>
      <c r="W12" s="2" t="s">
        <v>173</v>
      </c>
    </row>
  </sheetData>
  <autoFilter ref="A1:W12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https://www.desjardin.fr"/>
    <hyperlink ref="H5" r:id="rId6" display="https://www.desjardin.fr/en/categories/cosmetic-packaging"/>
    <hyperlink ref="G6" r:id="rId7" display="www.effervescence-lab.com"/>
    <hyperlink ref="H10" r:id="rId8" display="https://welcon.kocca.kr/en/directory/company/cosplan-inc--5601"/>
    <hyperlink ref="G12" r:id="rId9" display="https://iwasecosfa.eu"/>
    <hyperlink ref="H12" r:id="rId10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174</v>
      </c>
      <c r="C1" s="5" t="s">
        <v>175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COUNTIF(Контакты!$B$2:$B$12,A2)</f>
        <v>1</v>
      </c>
      <c r="C2" s="6" t="n">
        <f aca="false">COUNTIFS(Контакты!$B$2:$B$12,A2,Контакты!$U$2:$U$12,"Высокий")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COUNTIF(Контакты!$B$2:$B$12,A3)</f>
        <v>2</v>
      </c>
      <c r="C3" s="6" t="n">
        <f aca="false">COUNTIFS(Контакты!$B$2:$B$12,A3,Контакты!$U$2:$U$12,"Высокий")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COUNTIF(Контакты!$B$2:$B$12,A4)</f>
        <v>5</v>
      </c>
      <c r="C4" s="6" t="n">
        <f aca="false">COUNTIFS(Контакты!$B$2:$B$12,A4,Контакты!$U$2:$U$12,"Высокий")</f>
        <v>0</v>
      </c>
    </row>
    <row r="5" customFormat="false" ht="15" hidden="false" customHeight="false" outlineLevel="0" collapsed="false">
      <c r="A5" s="6" t="s">
        <v>140</v>
      </c>
      <c r="B5" s="6" t="n">
        <f aca="false">COUNTIF(Контакты!$B$2:$B$12,A5)</f>
        <v>2</v>
      </c>
      <c r="C5" s="6" t="n">
        <f aca="false">COUNTIFS(Контакты!$B$2:$B$12,A5,Контакты!$U$2:$U$12,"Высокий")</f>
        <v>0</v>
      </c>
    </row>
    <row r="6" customFormat="false" ht="15" hidden="false" customHeight="false" outlineLevel="0" collapsed="false">
      <c r="A6" s="6" t="s">
        <v>161</v>
      </c>
      <c r="B6" s="6" t="n">
        <f aca="false">COUNTIF(Контакты!$B$2:$B$12,A6)</f>
        <v>1</v>
      </c>
      <c r="C6" s="6" t="n">
        <f aca="false">COUNTIFS(Контакты!$B$2:$B$12,A6,Контакты!$U$2:$U$12,"Высокий")</f>
        <v>0</v>
      </c>
    </row>
    <row r="7" customFormat="false" ht="15" hidden="false" customHeight="false" outlineLevel="0" collapsed="false">
      <c r="A7" s="7" t="s">
        <v>176</v>
      </c>
      <c r="B7" s="7" t="n">
        <f aca="false">SUM(B2:B6)</f>
        <v>11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174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COUNTIF(Контакты!$C$2:$C$12,A10)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COUNTIF(Контакты!$C$2:$C$12,A11)</f>
        <v>1</v>
      </c>
      <c r="C11" s="6"/>
    </row>
    <row r="12" customFormat="false" ht="15" hidden="false" customHeight="false" outlineLevel="0" collapsed="false">
      <c r="A12" s="6" t="s">
        <v>91</v>
      </c>
      <c r="B12" s="6" t="n">
        <f aca="false">COUNTIF(Контакты!$C$2:$C$12,A12)</f>
        <v>1</v>
      </c>
      <c r="C12" s="6"/>
    </row>
    <row r="13" customFormat="false" ht="15" hidden="false" customHeight="false" outlineLevel="0" collapsed="false">
      <c r="A13" s="6" t="s">
        <v>106</v>
      </c>
      <c r="B13" s="6" t="n">
        <f aca="false">COUNTIF(Контакты!$C$2:$C$12,A13)</f>
        <v>2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COUNTIF(Контакты!$C$2:$C$12,A14)</f>
        <v>2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2026-10-14T11:29:12Z</dcterms:created>
  <dc:creator>openpyxl</dc:creator>
  <dc:description/>
  <dc:language>en-US</dc:language>
  <cp:lastModifiedBy/>
  <dcterms:modified xsi:type="dcterms:W3CDTF">2026-10-14T11:29:12Z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