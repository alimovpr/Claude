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Контакты!$A$1:$V$5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<sst xmlns="http://schemas.openxmlformats.org/spreadsheetml/2006/main" count="92" uniqueCount="84">
  <si>
    <t xml:space="preserve">№</t>
  </si>
  <si>
    <t xml:space="preserve">Страна производства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</si>
  <si>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</si>
  <si>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</si>
  <si>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</si>
  <si>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</si>
  <si>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</si>
  <si>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</si>
  <si>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</si>
  <si>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</si>
  <si>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</si>
  <si>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</si>
  <si>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</si>
  <si>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</si>
  <si>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</si>
  <si>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</si>
  <si>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</si>
  <si>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</si>
  <si>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</si>
  <si>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</si>
  <si>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</si>
  <si>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</si>
  <si>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Китай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</si>
  <si>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</si>
  <si>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</si>
  <si>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</si>
  <si>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</si>
  <si>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</si>
  <si>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</si>
  <si>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</si>
  <si>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</si>
  <si>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</si>
  <si>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</si>
  <si>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</si>
  <si>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</si>
  <si>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</si>
  <si>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</si>
  <si>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</si>
  <si>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2026-10-14</t>
  </si>
  <si>
    <t xml:space="preserve">photos/001_kava.jpg</t>
  </si>
  <si>
    <t xml:space="preserve">Франция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</si>
  <si>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</si>
  <si>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</si>
  <si>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</si>
  <si>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</si>
  <si>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</si>
  <si>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</si>
  <si>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</si>
  <si>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</si>
  <si>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</si>
  <si>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</si>
  <si>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</si>
  <si>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</si>
  <si>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</si>
  <si>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</si>
  <si>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</si>
  <si>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</si>
  <si>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</si>
  <si>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</si>
  <si>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</si>
  <si>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</si>
  <si>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</si>
  <si>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</si>
  <si>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</si>
  <si>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</si>
  <si>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</si>
  <si>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</si>
  <si>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</si>
  <si>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</si>
  <si>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</si>
  <si>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Cosmetic 360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</si>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</sst>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kava.cn/" TargetMode="External"/><Relationship Id="rId2" Type="http://schemas.openxmlformats.org/officeDocument/2006/relationships/hyperlink" Target="https://www.effervescence-lab.com/" TargetMode="External"/><Relationship Id="rId3" Type="http://schemas.openxmlformats.org/officeDocument/2006/relationships/hyperlink" Target="https://iwasecosfa.eu/" TargetMode="External"/><Relationship Id="rId4" Type="http://schemas.openxmlformats.org/officeDocument/2006/relationships/hyperlink" Target="https://iwasecosfa-eu.covalo.com/" TargetMode="External"/><Relationship Id="rId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8"/>
    <col collapsed="false" customWidth="true" hidden="false" outlineLevel="0" max="8" min="8" style="0" width="45"/>
    <col collapsed="false" customWidth="true" hidden="false" outlineLevel="0" max="11" min="9" style="0" width="18"/>
    <col collapsed="false" customWidth="true" hidden="false" outlineLevel="0" max="12" min="12" style="0" width="24"/>
    <col collapsed="false" customWidth="true" hidden="false" outlineLevel="0" max="13" min="13" style="0" width="16"/>
    <col collapsed="false" customWidth="true" hidden="false" outlineLevel="0" max="14" min="14" style="0" width="36"/>
    <col collapsed="false" customWidth="true" hidden="false" outlineLevel="0" max="15" min="15" style="0" width="22"/>
    <col collapsed="false" customWidth="true" hidden="false" outlineLevel="0" max="16" min="16" style="0" width="30"/>
    <col collapsed="false" customWidth="true" hidden="false" outlineLevel="0" max="17" min="17" style="0" width="50"/>
    <col collapsed="false" customWidth="true" hidden="false" outlineLevel="0" max="18" min="18" style="0" width="30"/>
    <col collapsed="false" customWidth="true" hidden="false" outlineLevel="0" max="19" min="19" style="0" width="32"/>
    <col collapsed="false" customWidth="true" hidden="false" outlineLevel="0" max="21" min="20" style="0" width="11"/>
    <col collapsed="false" customWidth="true" hidden="false" outlineLevel="0" max="22" min="22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57.45" hidden="false" customHeight="false" outlineLevel="0" collapsed="false">
      <c r="A2" s="2" t="n">
        <v>1</v>
      </c>
      <c r="B2" s="3" t="s">
        <v>22</v>
      </c>
      <c r="C2" s="2" t="s">
        <v>23</v>
      </c>
      <c r="D2" s="2" t="s">
        <v>24</v>
      </c>
      <c r="E2" s="2"/>
      <c r="F2" s="4" t="s">
        <v>25</v>
      </c>
      <c r="G2" s="2"/>
      <c r="H2" s="2" t="s">
        <v>26</v>
      </c>
      <c r="I2" s="2" t="s">
        <v>27</v>
      </c>
      <c r="J2" s="2" t="s">
        <v>28</v>
      </c>
      <c r="K2" s="2" t="s">
        <v>29</v>
      </c>
      <c r="L2" s="2" t="s">
        <v>30</v>
      </c>
      <c r="M2" s="2"/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  <c r="V2" s="2" t="s">
        <v>39</v>
      </c>
    </row>
    <row r="3" customFormat="false" ht="102.2" hidden="false" customHeight="false" outlineLevel="0" collapsed="false">
      <c r="A3" s="2" t="n">
        <v>2</v>
      </c>
      <c r="B3" s="3" t="s">
        <v>40</v>
      </c>
      <c r="C3" s="2" t="s">
        <v>41</v>
      </c>
      <c r="D3" s="2" t="s">
        <v>42</v>
      </c>
      <c r="E3" s="2" t="s">
        <v>43</v>
      </c>
      <c r="F3" s="4" t="s">
        <v>44</v>
      </c>
      <c r="G3" s="2"/>
      <c r="H3" s="2" t="s">
        <v>45</v>
      </c>
      <c r="I3" s="2"/>
      <c r="J3" s="2"/>
      <c r="K3" s="2"/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 t="s">
        <v>51</v>
      </c>
      <c r="R3" s="2" t="s">
        <v>52</v>
      </c>
      <c r="S3" s="2" t="s">
        <v>53</v>
      </c>
      <c r="T3" s="2"/>
      <c r="U3" s="2" t="s">
        <v>38</v>
      </c>
      <c r="V3" s="2" t="s">
        <v>54</v>
      </c>
    </row>
    <row r="4" customFormat="false" ht="158.2" hidden="false" customHeight="false" outlineLevel="0" collapsed="false">
      <c r="A4" s="2" t="n">
        <v>3</v>
      </c>
      <c r="B4" s="3" t="s">
        <v>40</v>
      </c>
      <c r="C4" s="2" t="s">
        <v>55</v>
      </c>
      <c r="D4" s="2" t="s">
        <v>56</v>
      </c>
      <c r="E4" s="2" t="s">
        <v>57</v>
      </c>
      <c r="F4" s="2" t="s">
        <v>58</v>
      </c>
      <c r="G4" s="2"/>
      <c r="H4" s="2" t="s">
        <v>59</v>
      </c>
      <c r="I4" s="2"/>
      <c r="J4" s="2"/>
      <c r="K4" s="2"/>
      <c r="L4" s="2"/>
      <c r="M4" s="2"/>
      <c r="N4" s="2" t="s">
        <v>60</v>
      </c>
      <c r="O4" s="2" t="s">
        <v>61</v>
      </c>
      <c r="P4" s="2" t="s">
        <v>62</v>
      </c>
      <c r="Q4" s="2" t="s">
        <v>63</v>
      </c>
      <c r="R4" s="2" t="s">
        <v>64</v>
      </c>
      <c r="S4" s="2" t="s">
        <v>65</v>
      </c>
      <c r="T4" s="2"/>
      <c r="U4" s="2" t="s">
        <v>38</v>
      </c>
      <c r="V4" s="2" t="s">
        <v>66</v>
      </c>
    </row>
    <row r="5" customFormat="false" ht="79.85" hidden="false" customHeight="false" outlineLevel="0" collapsed="false">
      <c r="A5" s="2" t="n">
        <v>4</v>
      </c>
      <c r="B5" s="3" t="s">
        <v>67</v>
      </c>
      <c r="C5" s="2" t="s">
        <v>68</v>
      </c>
      <c r="D5" s="2" t="s">
        <v>69</v>
      </c>
      <c r="E5" s="2" t="s">
        <v>70</v>
      </c>
      <c r="F5" s="4" t="s">
        <v>71</v>
      </c>
      <c r="G5" s="4" t="s">
        <v>72</v>
      </c>
      <c r="H5" s="2" t="s">
        <v>73</v>
      </c>
      <c r="I5" s="2"/>
      <c r="J5" s="2"/>
      <c r="K5" s="2"/>
      <c r="L5" s="2"/>
      <c r="M5" s="2"/>
      <c r="N5" s="2" t="s">
        <v>74</v>
      </c>
      <c r="O5" s="2" t="s">
        <v>75</v>
      </c>
      <c r="P5" s="2" t="s">
        <v>76</v>
      </c>
      <c r="Q5" s="2" t="s">
        <v>77</v>
      </c>
      <c r="R5" s="2" t="s">
        <v>78</v>
      </c>
      <c r="S5" s="2" t="s">
        <v>79</v>
      </c>
      <c r="T5" s="2"/>
      <c r="U5" s="2" t="s">
        <v>38</v>
      </c>
      <c r="V5" s="2" t="s">
        <v>80</v>
      </c>
    </row>
  </sheetData>
  <autoFilter ref="A1:V5"/>
  <hyperlinks>
    <hyperlink ref="F2" r:id="rId1" display="www.kava.cn"/>
    <hyperlink ref="F3" r:id="rId2" display="www.effervescence-lab.com"/>
    <hyperlink ref="F5" r:id="rId3" display="https://iwasecosfa.eu"/>
    <hyperlink ref="G5" r:id="rId4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81</v>
      </c>
      <c r="C1" s="5" t="s">
        <v>82</v>
      </c>
    </row>
    <row r="2" customFormat="false" ht="15" hidden="false" customHeight="false" outlineLevel="0" collapsed="false">
      <c r="A2" s="6" t="s">
        <v>22</v>
      </c>
      <c r="B2" s="6" t="n">
        <f aca="false">COUNTIF(Контакты!$B$2:$B$5,A2)</f>
        <v>1</v>
      </c>
      <c r="C2" s="6" t="n">
        <f aca="false">COUNTIFS(Контакты!$B$2:$B$5,A2,Контакты!$T$2:$T$5,"Высокий")</f>
        <v>1</v>
      </c>
    </row>
    <row r="3" customFormat="false" ht="15" hidden="false" customHeight="false" outlineLevel="0" collapsed="false">
      <c r="A3" s="6" t="s">
        <v>40</v>
      </c>
      <c r="B3" s="6" t="n">
        <f aca="false">COUNTIF(Контакты!$B$2:$B$5,A3)</f>
        <v>2</v>
      </c>
      <c r="C3" s="6" t="n">
        <f aca="false">COUNTIFS(Контакты!$B$2:$B$5,A3,Контакты!$T$2:$T$5,"Высокий")</f>
        <v>0</v>
      </c>
    </row>
    <row r="4" customFormat="false" ht="15" hidden="false" customHeight="false" outlineLevel="0" collapsed="false">
      <c r="A4" s="6" t="s">
        <v>67</v>
      </c>
      <c r="B4" s="6" t="n">
        <f aca="false">COUNTIF(Контакты!$B$2:$B$5,A4)</f>
        <v>1</v>
      </c>
      <c r="C4" s="6" t="n">
        <f aca="false">COUNTIFS(Контакты!$B$2:$B$5,A4,Контакты!$T$2:$T$5,"Высокий")</f>
        <v>0</v>
      </c>
    </row>
    <row r="5" customFormat="false" ht="15" hidden="false" customHeight="false" outlineLevel="0" collapsed="false">
      <c r="A5" s="7" t="s">
        <v>83</v>
      </c>
      <c r="B5" s="7" t="n">
        <f aca="false">SUM(B2:B4)</f>
        <v>4</v>
      </c>
      <c r="C5" s="7" t="n">
        <f aca="false">SUM(C2:C4)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2026-10-14T10:13:39Z</dcterms:created>
  <dc:creator>openpyxl</dc:creator>
  <dc:description/>
  <dc:language>en-US</dc:language>
  <cp:lastModifiedBy/>
  <dcterms:modified xsi:type="dcterms:W3CDTF">2026-10-14T10:13:39Z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