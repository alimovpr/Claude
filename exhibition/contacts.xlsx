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онтакты" sheetId="1" state="visible" r:id="rId3"/>
    <sheet name="По странам" sheetId="2" state="visible" r:id="rId4"/>
  </sheets>
  <definedNames>
    <definedName function="false" hidden="true" localSheetId="0" name="_xlnm._FilterDatabase" vbProcedure="false">Контакты!$A$1:$U$3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<sst xmlns="http://schemas.openxmlformats.org/spreadsheetml/2006/main" count="61" uniqueCount="57">
  <si>
    <t xml:space="preserve">№</t>
  </si>
  <si>
    <t xml:space="preserve">Страна производства</t>
  </si>
  <si>
    <t xml:space="preserve">Город / регион</t>
  </si>
  <si>
    <t xml:space="preserve">Компания</t>
  </si>
  <si>
    <t xml:space="preserve">Выставка / стенд</t>
  </si>
  <si>
    <t xml:space="preserve">Сайт</t>
  </si>
  <si>
    <t xml:space="preserve">Что производят</t>
  </si>
  <si>
    <t xml:space="preserve">Контакт (по визитке)</t>
  </si>
  <si>
    <t xml:space="preserve">Как представился</t>
  </si>
  <si>
    <t xml:space="preserve">Должность</t>
  </si>
  <si>
    <t xml:space="preserve">Email</t>
  </si>
  <si>
    <t xml:space="preserve">Телефон</t>
  </si>
  <si>
    <t xml:space="preserve">Адрес / офисы</t>
  </si>
  <si>
    <t xml:space="preserve">Пометки на визитке</t>
  </si>
  <si>
    <t xml:space="preserve">Что обсуждали / интерес</t>
  </si>
  <si>
    <t xml:space="preserve">Найдено в интернете</t>
  </si>
  <si>
    <t xml:space="preserve">Источники</t>
  </si>
  <si>
    <t xml:space="preserve">Следующий шаг</t>
  </si>
  <si>
    <t xml:space="preserve">Приоритет</t>
  </si>
  <si>
    <t xml:space="preserve">Дата</t>
  </si>
  <si>
    <t xml:space="preserve">Фото</t>
  </si>
  <si>
    <t xml:space="preserve">Китай</t>
  </si>
  <si>
    <t xml:space="preserve">Куньшань, пров. Цзянсу (≈50 км от Шанхая)</t>
  </si>
  <si>
    <t xml:space="preserve">KAVA International Limited</t>
  </si>
  <si>
    <t xml:space="preserve">www.kava.cn</t>
  </si>
  <si>
    <t xml:space="preserve">Упаковка для косметики; печать складных картонных коробок (офсет, с 2024 г. — флексо-линия Edale FL5 + вырубка FDC-600: печать, вырубка, тиснение Брайля, холодная фольга, лак, ламинация за один проход)</t>
  </si>
  <si>
    <t xml:space="preserve">Haoran Wang</t>
  </si>
  <si>
    <t xml:space="preserve">Райан (владелец)</t>
  </si>
  <si>
    <t xml:space="preserve">Chief Executive Officer</t>
  </si>
  <si>
    <t xml:space="preserve">wanghaoran@kava.cn</t>
  </si>
  <si>
    <t xml:space="preserve">Производство: No. 16 South Huacheng Road, Lujia, Kunshan, Jiangsu, China. Международный офис: Гонконг</t>
  </si>
  <si>
    <t xml:space="preserve">«Эстелаудер», «упаковка для косметики»</t>
  </si>
  <si>
    <t xml:space="preserve">Упаковка для косметики — то, что нам нужно</t>
  </si>
  <si>
    <t xml:space="preserve">Июль 2024: KAVA — первый в Китае заказчик британских флексо-машин Edale (FL5 + FDC-600), до этого печатали складные коробки только офсетом. В прессе CEO назван «Jiangua Wang» — уточнить. Сайт kava.cn на момент проверки не открылся.</t>
  </si>
  <si>
    <t xml:space="preserve">https://www.thepackagingportal.com/?p=29277 ; https://industriagraficaonline.com/articulo/37705/</t>
  </si>
  <si>
    <t xml:space="preserve">Запросить каталог/образцы косметической упаковки, MOQ, цены; уточнить работу с Estée Lauder</t>
  </si>
  <si>
    <t xml:space="preserve">Высокий</t>
  </si>
  <si>
    <t xml:space="preserve">2026-10-14</t>
  </si>
  <si>
    <t xml:space="preserve">photos/001_kava.jpg</t>
  </si>
  <si>
    <t xml:space="preserve">Франция</t>
  </si>
  <si>
    <t xml:space="preserve">Авиньон</t>
  </si>
  <si>
    <t xml:space="preserve">Effervescence Lab</t>
  </si>
  <si>
    <t xml:space="preserve">Cosmetic 360, стенд FB12 (Innovation Route — Formulation)</t>
  </si>
  <si>
    <t xml:space="preserve">www.effervescence-lab.com</t>
  </si>
  <si>
    <t xml:space="preserve">Независимая R&amp;D-лаборатория: разработка формул косметики «под ключ» — создание формулы, тесты, регуляторное досье. Формулы на заказ (sur mesure) и эксклюзивные. Категории: уход за кожей, солнцезащита, уход за волосами, пенящиеся средства, тональные (teint), стики, бальзамы, стерильные формулы. Конвенциональная и органическая (bio) косметика. Акцент на сенсорику и инновационные текстуры</t>
  </si>
  <si>
    <t xml:space="preserve">contact@effervescence-lab.com</t>
  </si>
  <si>
    <t xml:space="preserve">+33 4 86 40 84 88</t>
  </si>
  <si>
    <t xml:space="preserve">Le Newton, 65 Rue Lawrence Durrell, BP 51 552, 84916 Avignon Cedex 09, Франция</t>
  </si>
  <si>
    <t xml:space="preserve">Буклет со стенда (контакты на обороте)</t>
  </si>
  <si>
    <t xml:space="preserve">Ни с кем не познакомились — только фото стенда</t>
  </si>
  <si>
    <t xml:space="preserve">Основатель и директор — Muriel Hibon (физикохимия формулирования, 20+ лет в R&amp;D косметики). Коллекции готовых основ: Sublime, Hybride, Essentia (2025). Собственное производство в открытых источниках не подтверждено — уточнить, делают ли выпуск партий или только разработку.</t>
  </si>
  <si>
    <t xml:space="preserve">https://www.industries-cosmetiques.fr/en/effervescence-lab-formulation-et-sensorialite ; https://www.luxepackmonaco.com/en/speakers/67bdab0816a05b57ffb96610 ; https://www.cosmed.fr/app/uploads/2026/03/technicienne-de-formulation.pdf</t>
  </si>
  <si>
    <t xml:space="preserve">Написать на contact@effervescence-lab.com: условия разработки формулы, сроки, есть ли собственное производство/выпуск партий</t>
  </si>
  <si>
    <t xml:space="preserve">photos/002_effervescence_lab.jpg ; photos/002b_effervescence_lab_brochure.jpg</t>
  </si>
  <si>
    <t xml:space="preserve">Компаний</t>
  </si>
  <si>
    <t xml:space="preserve">Высокий приоритет</t>
  </si>
  <si>
    <t xml:space="preserve">Итого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</si>
</sst>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4"/>
    <col collapsed="false" customWidth="true" hidden="false" outlineLevel="0" max="5" min="5" style="0" width="20"/>
    <col collapsed="false" customWidth="true" hidden="false" outlineLevel="0" max="6" min="6" style="0" width="18"/>
    <col collapsed="false" customWidth="true" hidden="false" outlineLevel="0" max="7" min="7" style="0" width="45"/>
    <col collapsed="false" customWidth="true" hidden="false" outlineLevel="0" max="10" min="8" style="0" width="18"/>
    <col collapsed="false" customWidth="true" hidden="false" outlineLevel="0" max="11" min="11" style="0" width="24"/>
    <col collapsed="false" customWidth="true" hidden="false" outlineLevel="0" max="12" min="12" style="0" width="16"/>
    <col collapsed="false" customWidth="true" hidden="false" outlineLevel="0" max="13" min="13" style="0" width="36"/>
    <col collapsed="false" customWidth="true" hidden="false" outlineLevel="0" max="14" min="14" style="0" width="22"/>
    <col collapsed="false" customWidth="true" hidden="false" outlineLevel="0" max="15" min="15" style="0" width="30"/>
    <col collapsed="false" customWidth="true" hidden="false" outlineLevel="0" max="16" min="16" style="0" width="50"/>
    <col collapsed="false" customWidth="true" hidden="false" outlineLevel="0" max="17" min="17" style="0" width="30"/>
    <col collapsed="false" customWidth="true" hidden="false" outlineLevel="0" max="18" min="18" style="0" width="32"/>
    <col collapsed="false" customWidth="true" hidden="false" outlineLevel="0" max="20" min="19" style="0" width="11"/>
    <col collapsed="false" customWidth="true" hidden="false" outlineLevel="0" max="21" min="21" style="0" width="18"/>
  </cols>
  <sheetData>
    <row r="1" customFormat="false" ht="39.5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customFormat="false" ht="57.45" hidden="false" customHeight="false" outlineLevel="0" collapsed="false">
      <c r="A2" s="2" t="n">
        <v>1</v>
      </c>
      <c r="B2" s="3" t="s">
        <v>21</v>
      </c>
      <c r="C2" s="2" t="s">
        <v>22</v>
      </c>
      <c r="D2" s="2" t="s">
        <v>23</v>
      </c>
      <c r="E2" s="2"/>
      <c r="F2" s="2" t="s">
        <v>24</v>
      </c>
      <c r="G2" s="2" t="s">
        <v>25</v>
      </c>
      <c r="H2" s="2" t="s">
        <v>26</v>
      </c>
      <c r="I2" s="2" t="s">
        <v>27</v>
      </c>
      <c r="J2" s="2" t="s">
        <v>28</v>
      </c>
      <c r="K2" s="2" t="s">
        <v>29</v>
      </c>
      <c r="L2" s="2"/>
      <c r="M2" s="2" t="s">
        <v>30</v>
      </c>
      <c r="N2" s="2" t="s">
        <v>31</v>
      </c>
      <c r="O2" s="2" t="s">
        <v>32</v>
      </c>
      <c r="P2" s="2" t="s">
        <v>33</v>
      </c>
      <c r="Q2" s="2" t="s">
        <v>34</v>
      </c>
      <c r="R2" s="2" t="s">
        <v>35</v>
      </c>
      <c r="S2" s="2" t="s">
        <v>36</v>
      </c>
      <c r="T2" s="2" t="s">
        <v>37</v>
      </c>
      <c r="U2" s="2" t="s">
        <v>38</v>
      </c>
    </row>
    <row r="3" customFormat="false" ht="102.2" hidden="false" customHeight="false" outlineLevel="0" collapsed="false">
      <c r="A3" s="2" t="n">
        <v>2</v>
      </c>
      <c r="B3" s="3" t="s">
        <v>39</v>
      </c>
      <c r="C3" s="2" t="s">
        <v>40</v>
      </c>
      <c r="D3" s="2" t="s">
        <v>41</v>
      </c>
      <c r="E3" s="2" t="s">
        <v>42</v>
      </c>
      <c r="F3" s="2" t="s">
        <v>43</v>
      </c>
      <c r="G3" s="2" t="s">
        <v>44</v>
      </c>
      <c r="H3" s="2"/>
      <c r="I3" s="2"/>
      <c r="J3" s="2"/>
      <c r="K3" s="2" t="s">
        <v>45</v>
      </c>
      <c r="L3" s="2" t="s">
        <v>46</v>
      </c>
      <c r="M3" s="2" t="s">
        <v>47</v>
      </c>
      <c r="N3" s="2" t="s">
        <v>48</v>
      </c>
      <c r="O3" s="2" t="s">
        <v>49</v>
      </c>
      <c r="P3" s="2" t="s">
        <v>50</v>
      </c>
      <c r="Q3" s="2" t="s">
        <v>51</v>
      </c>
      <c r="R3" s="2" t="s">
        <v>52</v>
      </c>
      <c r="S3" s="2"/>
      <c r="T3" s="2" t="s">
        <v>37</v>
      </c>
      <c r="U3" s="2" t="s">
        <v>53</v>
      </c>
    </row>
  </sheetData>
  <autoFilter ref="A1:U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20"/>
  </cols>
  <sheetData>
    <row r="1" customFormat="false" ht="15" hidden="false" customHeight="false" outlineLevel="0" collapsed="false">
      <c r="A1" s="4" t="s">
        <v>1</v>
      </c>
      <c r="B1" s="4" t="s">
        <v>54</v>
      </c>
      <c r="C1" s="4" t="s">
        <v>55</v>
      </c>
    </row>
    <row r="2" customFormat="false" ht="15" hidden="false" customHeight="false" outlineLevel="0" collapsed="false">
      <c r="A2" s="5" t="s">
        <v>21</v>
      </c>
      <c r="B2" s="5" t="n">
        <f aca="false">COUNTIF(Контакты!$B$2:$B$3,A2)</f>
        <v>1</v>
      </c>
      <c r="C2" s="5" t="n">
        <f aca="false">COUNTIFS(Контакты!$B$2:$B$3,A2,Контакты!$S$2:$S$3,"Высокий")</f>
        <v>1</v>
      </c>
    </row>
    <row r="3" customFormat="false" ht="15" hidden="false" customHeight="false" outlineLevel="0" collapsed="false">
      <c r="A3" s="5" t="s">
        <v>39</v>
      </c>
      <c r="B3" s="5" t="n">
        <f aca="false">COUNTIF(Контакты!$B$2:$B$3,A3)</f>
        <v>1</v>
      </c>
      <c r="C3" s="5" t="n">
        <f aca="false">COUNTIFS(Контакты!$B$2:$B$3,A3,Контакты!$S$2:$S$3,"Высокий")</f>
        <v>0</v>
      </c>
    </row>
    <row r="4" customFormat="false" ht="15" hidden="false" customHeight="false" outlineLevel="0" collapsed="false">
      <c r="A4" s="6" t="s">
        <v>56</v>
      </c>
      <c r="B4" s="6" t="n">
        <f aca="false">SUM(B2:B3)</f>
        <v>2</v>
      </c>
      <c r="C4" s="6" t="n">
        <f aca="false">SUM(C2:C3)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2026-10-14T09:59:53Z</dcterms:created>
  <dc:creator>openpyxl</dc:creator>
  <dc:description/>
  <dc:language>en-US</dc:language>
  <cp:lastModifiedBy/>
  <dcterms:modified xsi:type="dcterms:W3CDTF">2026-10-14T09:59:53Z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